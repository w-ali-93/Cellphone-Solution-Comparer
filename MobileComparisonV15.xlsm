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waheed\Box Sync\"/>
    </mc:Choice>
  </mc:AlternateContent>
  <bookViews>
    <workbookView xWindow="480" yWindow="390" windowWidth="18720" windowHeight="7755"/>
  </bookViews>
  <sheets>
    <sheet name="Maps" sheetId="7" r:id="rId1"/>
    <sheet name="Comparison" sheetId="1" r:id="rId2"/>
    <sheet name="Pakistan" sheetId="3" r:id="rId3"/>
    <sheet name="Afghanistan" sheetId="9" r:id="rId4"/>
    <sheet name="UAE" sheetId="10" r:id="rId5"/>
    <sheet name="Morocco" sheetId="11" r:id="rId6"/>
    <sheet name="KSA" sheetId="12" r:id="rId7"/>
    <sheet name="Tunisia" sheetId="13" r:id="rId8"/>
  </sheets>
  <definedNames>
    <definedName name="_xlnm._FilterDatabase" localSheetId="1" hidden="1">Comparison!$B$4:$P$61</definedName>
    <definedName name="Cellular">Comparison!$C$4</definedName>
    <definedName name="color">Comparison!$O$7</definedName>
    <definedName name="Country">Maps!$AE$12</definedName>
    <definedName name="Pakistan">Maps!$AE$12</definedName>
  </definedNames>
  <calcPr calcId="152511"/>
</workbook>
</file>

<file path=xl/calcChain.xml><?xml version="1.0" encoding="utf-8"?>
<calcChain xmlns="http://schemas.openxmlformats.org/spreadsheetml/2006/main">
  <c r="L16" i="12" l="1"/>
  <c r="G16" i="12"/>
  <c r="L28" i="12"/>
  <c r="G28" i="12"/>
  <c r="L17" i="13"/>
  <c r="L18" i="13"/>
  <c r="L19" i="13"/>
  <c r="L20" i="13"/>
  <c r="L21" i="13"/>
  <c r="L22" i="13"/>
  <c r="L23" i="13"/>
  <c r="L24" i="13"/>
  <c r="L25" i="13"/>
  <c r="L26" i="13"/>
  <c r="L27" i="13"/>
  <c r="L28" i="13"/>
  <c r="L29" i="13"/>
  <c r="L30" i="13"/>
  <c r="L31" i="13"/>
  <c r="L32" i="13"/>
  <c r="L33" i="13"/>
  <c r="L34" i="13"/>
  <c r="L35" i="13"/>
  <c r="L36" i="13"/>
  <c r="L16" i="13"/>
  <c r="G17" i="12" l="1"/>
  <c r="L17" i="12"/>
  <c r="L18" i="12"/>
  <c r="L19" i="12"/>
  <c r="L20" i="12"/>
  <c r="L21" i="12"/>
  <c r="L22" i="12"/>
  <c r="L23" i="12"/>
  <c r="L24" i="12"/>
  <c r="L26" i="12"/>
  <c r="L27" i="12"/>
  <c r="L30" i="12"/>
  <c r="L31" i="12"/>
  <c r="L32" i="12"/>
  <c r="L33" i="12"/>
  <c r="L34" i="12"/>
  <c r="L35" i="12"/>
  <c r="L36" i="12"/>
  <c r="G36" i="13"/>
  <c r="G35" i="13"/>
  <c r="G34" i="13"/>
  <c r="G33" i="13"/>
  <c r="G32" i="13"/>
  <c r="G31" i="13"/>
  <c r="G30" i="13"/>
  <c r="G29" i="13"/>
  <c r="G28" i="13"/>
  <c r="G27" i="13"/>
  <c r="G26" i="13"/>
  <c r="G25" i="13"/>
  <c r="G24" i="13"/>
  <c r="G23" i="13"/>
  <c r="G22" i="13"/>
  <c r="G21" i="13"/>
  <c r="G20" i="13"/>
  <c r="G19" i="13"/>
  <c r="G18" i="13"/>
  <c r="G17" i="13"/>
  <c r="G16" i="13"/>
  <c r="G36" i="12"/>
  <c r="G35" i="12"/>
  <c r="G34" i="12"/>
  <c r="G33" i="12"/>
  <c r="G32" i="12"/>
  <c r="G31" i="12"/>
  <c r="G30" i="12"/>
  <c r="G29" i="12"/>
  <c r="G27" i="12"/>
  <c r="G26" i="12"/>
  <c r="G25" i="12"/>
  <c r="G24" i="12"/>
  <c r="G23" i="12"/>
  <c r="G22" i="12"/>
  <c r="G21" i="12"/>
  <c r="G20" i="12"/>
  <c r="G19" i="12"/>
  <c r="G18" i="12"/>
  <c r="G17" i="11" l="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16" i="11"/>
  <c r="E34" i="1"/>
  <c r="L35" i="10" l="1"/>
  <c r="G35" i="10"/>
  <c r="L34" i="10"/>
  <c r="G34" i="10"/>
  <c r="L33" i="10"/>
  <c r="G33" i="10"/>
  <c r="L32" i="10"/>
  <c r="G32" i="10"/>
  <c r="L31" i="10"/>
  <c r="G31" i="10"/>
  <c r="L30" i="10"/>
  <c r="G30" i="10"/>
  <c r="L29" i="10"/>
  <c r="G29" i="10"/>
  <c r="L28" i="10"/>
  <c r="G28" i="10"/>
  <c r="L27" i="10"/>
  <c r="G27" i="10"/>
  <c r="L26" i="10"/>
  <c r="G26" i="10"/>
  <c r="L25" i="10"/>
  <c r="G25" i="10"/>
  <c r="L24" i="10"/>
  <c r="G24" i="10"/>
  <c r="L23" i="10"/>
  <c r="G23" i="10"/>
  <c r="L22" i="10"/>
  <c r="G22" i="10"/>
  <c r="L21" i="10"/>
  <c r="G21" i="10"/>
  <c r="L20" i="10"/>
  <c r="G20" i="10"/>
  <c r="L19" i="10"/>
  <c r="G19" i="10"/>
  <c r="L18" i="10"/>
  <c r="G18" i="10"/>
  <c r="L17" i="10"/>
  <c r="G17" i="10"/>
  <c r="L16" i="10"/>
  <c r="G16" i="10"/>
  <c r="G16" i="9" l="1"/>
  <c r="G28" i="3" l="1"/>
  <c r="O41" i="1" l="1"/>
  <c r="D58" i="1"/>
  <c r="D43" i="1"/>
  <c r="D46" i="1"/>
  <c r="D37" i="1"/>
  <c r="F7" i="1"/>
  <c r="D31" i="1"/>
  <c r="D61" i="1"/>
  <c r="D40" i="1"/>
  <c r="E7" i="1"/>
  <c r="D19" i="1"/>
  <c r="D34" i="1"/>
  <c r="D28" i="1"/>
  <c r="D10" i="1"/>
  <c r="G7" i="1"/>
  <c r="D52" i="1"/>
  <c r="D55" i="1"/>
  <c r="D13" i="1"/>
  <c r="D49" i="1"/>
  <c r="D22" i="1"/>
  <c r="D25" i="1"/>
  <c r="D16" i="1"/>
  <c r="O7" i="1" l="1"/>
  <c r="F13" i="1"/>
  <c r="G25" i="1"/>
  <c r="E61" i="1"/>
  <c r="G28" i="1"/>
  <c r="G49" i="1"/>
  <c r="F40" i="1"/>
  <c r="E58" i="1"/>
  <c r="G10" i="1"/>
  <c r="E13" i="1"/>
  <c r="F55" i="1"/>
  <c r="G40" i="1"/>
  <c r="G22" i="1"/>
  <c r="F58" i="1"/>
  <c r="G13" i="1"/>
  <c r="G61" i="1"/>
  <c r="F46" i="1"/>
  <c r="G52" i="1"/>
  <c r="G58" i="1"/>
  <c r="F61" i="1"/>
  <c r="G46" i="1"/>
  <c r="G37" i="1"/>
  <c r="G19" i="1"/>
  <c r="F49" i="1"/>
  <c r="G55" i="1"/>
  <c r="E49" i="1"/>
  <c r="E55" i="1"/>
  <c r="G31" i="1"/>
  <c r="G16" i="1"/>
  <c r="F52" i="1"/>
  <c r="F37" i="1"/>
  <c r="F34" i="1"/>
  <c r="G43" i="1"/>
  <c r="E52" i="1"/>
  <c r="F43" i="1"/>
  <c r="G34" i="1"/>
  <c r="O34" i="1" l="1"/>
  <c r="O49" i="1"/>
  <c r="O13" i="1"/>
  <c r="O61" i="1"/>
  <c r="O58" i="1"/>
  <c r="O55" i="1"/>
  <c r="O52" i="1"/>
  <c r="L35" i="9"/>
  <c r="G35" i="9"/>
  <c r="G33" i="9"/>
  <c r="G36" i="9"/>
  <c r="G34" i="9"/>
  <c r="G32" i="9"/>
  <c r="G31" i="9"/>
  <c r="L30" i="9"/>
  <c r="G30" i="9"/>
  <c r="G29" i="9"/>
  <c r="G27" i="9"/>
  <c r="L26" i="9"/>
  <c r="G26" i="9"/>
  <c r="L25" i="9"/>
  <c r="G25" i="9"/>
  <c r="L24" i="9"/>
  <c r="G24" i="9"/>
  <c r="G23" i="9"/>
  <c r="G22" i="9"/>
  <c r="G21" i="9"/>
  <c r="G20" i="9"/>
  <c r="G19" i="9"/>
  <c r="F19" i="1"/>
  <c r="F31" i="1"/>
  <c r="F28" i="1"/>
  <c r="F16" i="1"/>
  <c r="F25" i="1"/>
  <c r="F22" i="1"/>
  <c r="F10" i="1"/>
  <c r="O6" i="1" l="1"/>
  <c r="E16" i="1"/>
  <c r="E43" i="1"/>
  <c r="E37" i="1"/>
  <c r="E46" i="1"/>
  <c r="E31" i="1"/>
  <c r="E28" i="1"/>
  <c r="E40" i="1"/>
  <c r="E22" i="1"/>
  <c r="E25" i="1"/>
  <c r="E10" i="1"/>
  <c r="E19" i="1"/>
  <c r="O37" i="1" l="1"/>
  <c r="O31" i="1"/>
  <c r="O10" i="1"/>
  <c r="O46" i="1"/>
  <c r="O43" i="1"/>
  <c r="O40" i="1"/>
  <c r="O28" i="1"/>
  <c r="O22" i="1"/>
  <c r="O25" i="1"/>
  <c r="O19" i="1"/>
  <c r="O16" i="1"/>
  <c r="O60" i="1"/>
  <c r="O59" i="1"/>
  <c r="O57" i="1"/>
  <c r="O56" i="1"/>
  <c r="O5" i="1" l="1"/>
  <c r="O54" i="1" l="1"/>
  <c r="O53" i="1"/>
  <c r="O51" i="1"/>
  <c r="O50" i="1"/>
  <c r="O48" i="1"/>
  <c r="O47" i="1"/>
  <c r="O45" i="1"/>
  <c r="O44" i="1"/>
  <c r="O42" i="1"/>
  <c r="O39" i="1"/>
  <c r="O38" i="1"/>
  <c r="O36" i="1"/>
  <c r="O35" i="1"/>
  <c r="O33" i="1"/>
  <c r="O32" i="1"/>
  <c r="O30" i="1"/>
  <c r="O29" i="1"/>
  <c r="O27" i="1"/>
  <c r="O26" i="1"/>
  <c r="O24" i="1"/>
  <c r="O23" i="1"/>
  <c r="O21" i="1"/>
  <c r="O20" i="1"/>
  <c r="O18" i="1"/>
  <c r="O17" i="1"/>
  <c r="O15" i="1"/>
  <c r="O14" i="1"/>
  <c r="O12" i="1"/>
  <c r="O11" i="1"/>
  <c r="O8" i="1"/>
  <c r="O9" i="1"/>
  <c r="G17" i="3" l="1"/>
  <c r="G18" i="3"/>
  <c r="G19" i="3"/>
  <c r="G20" i="3"/>
  <c r="G21" i="3"/>
  <c r="G22" i="3"/>
  <c r="G23" i="3"/>
  <c r="G24" i="3"/>
  <c r="G26" i="3"/>
  <c r="G27" i="3"/>
  <c r="G29" i="3"/>
  <c r="G30" i="3"/>
  <c r="G31" i="3"/>
  <c r="G32" i="3"/>
  <c r="G34" i="3"/>
  <c r="G36" i="3"/>
  <c r="G33" i="3"/>
  <c r="G16" i="3"/>
  <c r="P8" i="1" l="1"/>
  <c r="P9" i="1"/>
  <c r="P11" i="1"/>
  <c r="P12" i="1"/>
  <c r="P14" i="1"/>
  <c r="P15" i="1"/>
  <c r="P17" i="1"/>
  <c r="P18" i="1"/>
  <c r="P20" i="1"/>
  <c r="P21" i="1"/>
  <c r="P23" i="1"/>
  <c r="P24" i="1"/>
  <c r="P26" i="1"/>
  <c r="P27" i="1"/>
  <c r="P29" i="1"/>
  <c r="P30" i="1"/>
  <c r="P32" i="1"/>
  <c r="P33" i="1"/>
  <c r="P35" i="1"/>
  <c r="P36" i="1"/>
  <c r="P38" i="1"/>
  <c r="P39" i="1"/>
  <c r="P41" i="1"/>
  <c r="P42" i="1"/>
  <c r="P44" i="1"/>
  <c r="P45" i="1"/>
  <c r="P47" i="1"/>
  <c r="P48" i="1"/>
  <c r="P50" i="1"/>
  <c r="P51" i="1"/>
  <c r="P53" i="1"/>
  <c r="P54" i="1"/>
  <c r="P6" i="1"/>
  <c r="P5" i="1"/>
</calcChain>
</file>

<file path=xl/comments1.xml><?xml version="1.0" encoding="utf-8"?>
<comments xmlns="http://schemas.openxmlformats.org/spreadsheetml/2006/main">
  <authors>
    <author>Abdul Waheed</author>
  </authors>
  <commentLis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In case destination country has multiple cellular providers with roaming support please mention all the rates and then Average to </t>
        </r>
      </text>
    </comment>
  </commentList>
</comments>
</file>

<file path=xl/sharedStrings.xml><?xml version="1.0" encoding="utf-8"?>
<sst xmlns="http://schemas.openxmlformats.org/spreadsheetml/2006/main" count="452" uniqueCount="78">
  <si>
    <t>Cellular</t>
  </si>
  <si>
    <t>Pakistan</t>
  </si>
  <si>
    <t>AT &amp; T</t>
  </si>
  <si>
    <t>Visiting Country</t>
  </si>
  <si>
    <t>T-Mobile</t>
  </si>
  <si>
    <t>Afghanistan</t>
  </si>
  <si>
    <t>Yes</t>
  </si>
  <si>
    <t>Algeria</t>
  </si>
  <si>
    <t>Bahrain</t>
  </si>
  <si>
    <t>Egypt</t>
  </si>
  <si>
    <t>Iran</t>
  </si>
  <si>
    <t>Iraq</t>
  </si>
  <si>
    <t>Kuwait</t>
  </si>
  <si>
    <t>Lebanon</t>
  </si>
  <si>
    <t>Libya</t>
  </si>
  <si>
    <t>Morocco</t>
  </si>
  <si>
    <t>Oman</t>
  </si>
  <si>
    <t>Syria</t>
  </si>
  <si>
    <t>Tunisia</t>
  </si>
  <si>
    <t>United Arab Emirates</t>
  </si>
  <si>
    <t>Yemen</t>
  </si>
  <si>
    <t>No</t>
  </si>
  <si>
    <t>Package Covered</t>
  </si>
  <si>
    <t>SMS</t>
  </si>
  <si>
    <t>Per SMS</t>
  </si>
  <si>
    <t>Visit Days</t>
  </si>
  <si>
    <t>Data(Aprox)</t>
  </si>
  <si>
    <t>Mins(Aprox)</t>
  </si>
  <si>
    <t>Data  /MB</t>
  </si>
  <si>
    <t>Call /min</t>
  </si>
  <si>
    <t>AT&amp;T Plan1 &amp; T-Mobile CO Plan</t>
  </si>
  <si>
    <t>Option2</t>
  </si>
  <si>
    <t>AT&amp;T 150+ min Charges &amp; T-Mobile CO Plan</t>
  </si>
  <si>
    <t>Color Ranges</t>
  </si>
  <si>
    <t>Approximate usage</t>
  </si>
  <si>
    <t>visit Days</t>
  </si>
  <si>
    <t>Data Used (per day)MB</t>
  </si>
  <si>
    <t>Minutes used per day</t>
  </si>
  <si>
    <t xml:space="preserve">Sms </t>
  </si>
  <si>
    <r>
      <rPr>
        <b/>
        <sz val="11"/>
        <color theme="1"/>
        <rFont val="Calibri"/>
        <family val="2"/>
        <scheme val="minor"/>
      </rPr>
      <t>Option1:</t>
    </r>
    <r>
      <rPr>
        <sz val="11"/>
        <color theme="1"/>
        <rFont val="Calibri"/>
        <family val="2"/>
        <scheme val="minor"/>
      </rPr>
      <t xml:space="preserve"> AT&amp;T Plan1 Roaming Rates (after using 150 free mins) Vs T-Mobile CO Plan ($51)</t>
    </r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</si>
  <si>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Data is for T-Mobile Country office plan ($50) vs AT&amp;T Plan1($181).</t>
    </r>
  </si>
  <si>
    <t>Filters can be used to select the countries, packages and celular provider.</t>
  </si>
  <si>
    <t>Cost in $</t>
  </si>
  <si>
    <t>Cost in column "O" will make the color change in "Visiting Country" column automatically</t>
  </si>
  <si>
    <t>Outgoing</t>
  </si>
  <si>
    <t>Incoming (Rate+Termination)</t>
  </si>
  <si>
    <t>To Pak</t>
  </si>
  <si>
    <t>Local</t>
  </si>
  <si>
    <t>International</t>
  </si>
  <si>
    <t>SMS (Out)</t>
  </si>
  <si>
    <t>Qatar</t>
  </si>
  <si>
    <t>Turkey</t>
  </si>
  <si>
    <t>Saudi Arabia</t>
  </si>
  <si>
    <t>West Bank and Gaza</t>
  </si>
  <si>
    <t>Data Roaming</t>
  </si>
  <si>
    <t>Average</t>
  </si>
  <si>
    <t>Different Incomming charges based on the call originating country.</t>
  </si>
  <si>
    <t>Different outgoing call charges for to home country, Local and international calls.</t>
  </si>
  <si>
    <t xml:space="preserve">Many raoming partners in visiting country and all have different rates. </t>
  </si>
  <si>
    <t>Have created the sheet with Local cellular providers. Rates extracted from website of cellular company.</t>
  </si>
  <si>
    <t>Ignored the Incoming call for now gathering data will be challenging</t>
  </si>
  <si>
    <t>Means no coverage or no data coverage</t>
  </si>
  <si>
    <t>Took average value</t>
  </si>
  <si>
    <t xml:space="preserve">Low </t>
  </si>
  <si>
    <t>Cost</t>
  </si>
  <si>
    <t xml:space="preserve">Medium </t>
  </si>
  <si>
    <t>High</t>
  </si>
  <si>
    <t>Jordan</t>
  </si>
  <si>
    <t>Strikethrough</t>
  </si>
  <si>
    <t>UAE</t>
  </si>
  <si>
    <t>To Afghanistan</t>
  </si>
  <si>
    <t>NC</t>
  </si>
  <si>
    <t>C</t>
  </si>
  <si>
    <t>Jordon</t>
  </si>
  <si>
    <t>Local Plan</t>
  </si>
  <si>
    <t>To UAE</t>
  </si>
  <si>
    <t>To Morrocco</t>
  </si>
  <si>
    <t>To KSA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</si>
</sst>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#,##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7A257"/>
        <bgColor indexed="64"/>
      </patternFill>
    </fill>
    <fill>
      <patternFill patternType="solid">
        <fgColor rgb="FFF3ECBB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88D56D"/>
        <bgColor indexed="64"/>
      </patternFill>
    </fill>
    <fill>
      <patternFill patternType="solid">
        <fgColor rgb="FF5BEB4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1" xfId="0" applyBorder="1"/>
    <xf numFmtId="0" fontId="0" fillId="0" borderId="1" xfId="0" applyFill="1" applyBorder="1"/>
    <xf numFmtId="0" fontId="1" fillId="0" borderId="1" xfId="0" applyFont="1" applyFill="1" applyBorder="1"/>
    <xf numFmtId="0" fontId="0" fillId="0" borderId="0" xfId="0" applyNumberFormat="1"/>
    <xf numFmtId="0" fontId="3" fillId="0" borderId="6" xfId="0" applyFont="1" applyBorder="1"/>
    <xf numFmtId="0" fontId="3" fillId="0" borderId="7" xfId="0" applyFont="1" applyFill="1" applyBorder="1"/>
    <xf numFmtId="0" fontId="3" fillId="0" borderId="1" xfId="0" applyFont="1" applyFill="1" applyBorder="1"/>
    <xf numFmtId="0" fontId="3" fillId="0" borderId="8" xfId="0" applyFont="1" applyBorder="1"/>
    <xf numFmtId="0" fontId="3" fillId="4" borderId="2" xfId="0" applyFont="1" applyFill="1" applyBorder="1" applyAlignment="1"/>
    <xf numFmtId="0" fontId="3" fillId="0" borderId="1" xfId="0" applyFont="1" applyBorder="1"/>
    <xf numFmtId="0" fontId="3" fillId="5" borderId="2" xfId="0" applyFont="1" applyFill="1" applyBorder="1" applyAlignment="1"/>
    <xf numFmtId="0" fontId="3" fillId="3" borderId="6" xfId="0" applyFont="1" applyFill="1" applyBorder="1"/>
    <xf numFmtId="0" fontId="3" fillId="0" borderId="7" xfId="0" applyFont="1" applyBorder="1"/>
    <xf numFmtId="0" fontId="3" fillId="0" borderId="12" xfId="0" applyFont="1" applyFill="1" applyBorder="1"/>
    <xf numFmtId="0" fontId="3" fillId="0" borderId="13" xfId="0" applyFont="1" applyFill="1" applyBorder="1"/>
    <xf numFmtId="0" fontId="3" fillId="0" borderId="14" xfId="0" applyFont="1" applyBorder="1"/>
    <xf numFmtId="0" fontId="3" fillId="5" borderId="1" xfId="0" applyFont="1" applyFill="1" applyBorder="1" applyAlignment="1"/>
    <xf numFmtId="0" fontId="0" fillId="10" borderId="1" xfId="0" applyFill="1" applyBorder="1"/>
    <xf numFmtId="0" fontId="1" fillId="11" borderId="1" xfId="0" applyFont="1" applyFill="1" applyBorder="1"/>
    <xf numFmtId="2" fontId="0" fillId="0" borderId="1" xfId="0" applyNumberFormat="1" applyBorder="1" applyAlignment="1">
      <alignment horizontal="center"/>
    </xf>
    <xf numFmtId="0" fontId="3" fillId="4" borderId="4" xfId="0" applyFont="1" applyFill="1" applyBorder="1" applyAlignment="1"/>
    <xf numFmtId="0" fontId="3" fillId="5" borderId="4" xfId="0" applyFont="1" applyFill="1" applyBorder="1" applyAlignment="1"/>
    <xf numFmtId="0" fontId="2" fillId="0" borderId="2" xfId="0" applyFont="1" applyBorder="1"/>
    <xf numFmtId="0" fontId="2" fillId="0" borderId="20" xfId="0" applyFont="1" applyBorder="1"/>
    <xf numFmtId="0" fontId="2" fillId="0" borderId="16" xfId="0" applyFont="1" applyBorder="1"/>
    <xf numFmtId="0" fontId="2" fillId="0" borderId="19" xfId="0" applyFont="1" applyBorder="1"/>
    <xf numFmtId="0" fontId="2" fillId="0" borderId="4" xfId="0" applyFont="1" applyBorder="1"/>
    <xf numFmtId="0" fontId="3" fillId="0" borderId="22" xfId="0" applyFont="1" applyBorder="1"/>
    <xf numFmtId="0" fontId="3" fillId="0" borderId="25" xfId="0" applyFont="1" applyBorder="1"/>
    <xf numFmtId="0" fontId="3" fillId="0" borderId="23" xfId="0" applyFont="1" applyFill="1" applyBorder="1"/>
    <xf numFmtId="0" fontId="3" fillId="0" borderId="24" xfId="0" applyFont="1" applyFill="1" applyBorder="1"/>
    <xf numFmtId="0" fontId="3" fillId="0" borderId="26" xfId="0" applyFont="1" applyBorder="1"/>
    <xf numFmtId="164" fontId="3" fillId="4" borderId="29" xfId="0" applyNumberFormat="1" applyFont="1" applyFill="1" applyBorder="1" applyAlignment="1"/>
    <xf numFmtId="164" fontId="3" fillId="5" borderId="19" xfId="0" applyNumberFormat="1" applyFont="1" applyFill="1" applyBorder="1" applyAlignment="1"/>
    <xf numFmtId="0" fontId="3" fillId="0" borderId="30" xfId="0" applyFont="1" applyBorder="1"/>
    <xf numFmtId="164" fontId="3" fillId="5" borderId="14" xfId="0" applyNumberFormat="1" applyFont="1" applyFill="1" applyBorder="1" applyAlignment="1"/>
    <xf numFmtId="0" fontId="3" fillId="0" borderId="21" xfId="0" applyFont="1" applyBorder="1"/>
    <xf numFmtId="0" fontId="3" fillId="0" borderId="17" xfId="0" applyFont="1" applyFill="1" applyBorder="1"/>
    <xf numFmtId="0" fontId="3" fillId="0" borderId="3" xfId="0" applyFont="1" applyFill="1" applyBorder="1"/>
    <xf numFmtId="0" fontId="3" fillId="3" borderId="25" xfId="0" applyFont="1" applyFill="1" applyBorder="1"/>
    <xf numFmtId="0" fontId="3" fillId="0" borderId="23" xfId="0" applyFont="1" applyBorder="1"/>
    <xf numFmtId="0" fontId="3" fillId="0" borderId="24" xfId="0" applyFont="1" applyBorder="1"/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3" borderId="1" xfId="0" applyFill="1" applyBorder="1"/>
    <xf numFmtId="0" fontId="3" fillId="0" borderId="1" xfId="0" applyFont="1" applyFill="1" applyBorder="1"/>
    <xf numFmtId="0" fontId="2" fillId="0" borderId="1" xfId="0" applyFont="1" applyFill="1" applyBorder="1"/>
    <xf numFmtId="0" fontId="3" fillId="5" borderId="35" xfId="0" applyFont="1" applyFill="1" applyBorder="1"/>
    <xf numFmtId="0" fontId="0" fillId="12" borderId="1" xfId="0" applyFill="1" applyBorder="1"/>
    <xf numFmtId="0" fontId="3" fillId="2" borderId="1" xfId="0" applyFont="1" applyFill="1" applyBorder="1" applyAlignment="1">
      <alignment vertical="center" wrapText="1"/>
    </xf>
    <xf numFmtId="0" fontId="3" fillId="0" borderId="6" xfId="0" applyFont="1" applyFill="1" applyBorder="1"/>
    <xf numFmtId="164" fontId="3" fillId="4" borderId="41" xfId="0" applyNumberFormat="1" applyFont="1" applyFill="1" applyBorder="1" applyAlignment="1"/>
    <xf numFmtId="164" fontId="3" fillId="5" borderId="42" xfId="0" applyNumberFormat="1" applyFont="1" applyFill="1" applyBorder="1" applyAlignment="1"/>
    <xf numFmtId="0" fontId="3" fillId="0" borderId="16" xfId="0" applyFont="1" applyFill="1" applyBorder="1"/>
    <xf numFmtId="0" fontId="3" fillId="0" borderId="2" xfId="0" applyFont="1" applyFill="1" applyBorder="1"/>
    <xf numFmtId="0" fontId="3" fillId="0" borderId="19" xfId="0" applyFont="1" applyBorder="1"/>
    <xf numFmtId="0" fontId="3" fillId="0" borderId="35" xfId="0" applyFont="1" applyFill="1" applyBorder="1"/>
    <xf numFmtId="0" fontId="3" fillId="0" borderId="34" xfId="0" applyFont="1" applyBorder="1"/>
    <xf numFmtId="164" fontId="3" fillId="5" borderId="40" xfId="0" applyNumberFormat="1" applyFont="1" applyFill="1" applyBorder="1" applyAlignment="1"/>
    <xf numFmtId="0" fontId="0" fillId="13" borderId="0" xfId="0" applyFill="1"/>
    <xf numFmtId="2" fontId="3" fillId="0" borderId="12" xfId="0" applyNumberFormat="1" applyFont="1" applyFill="1" applyBorder="1"/>
    <xf numFmtId="0" fontId="0" fillId="0" borderId="0" xfId="0" applyFill="1" applyBorder="1"/>
    <xf numFmtId="0" fontId="0" fillId="5" borderId="0" xfId="0" applyFill="1"/>
    <xf numFmtId="0" fontId="0" fillId="14" borderId="0" xfId="0" applyFill="1"/>
    <xf numFmtId="0" fontId="3" fillId="5" borderId="36" xfId="0" applyFont="1" applyFill="1" applyBorder="1"/>
    <xf numFmtId="0" fontId="3" fillId="5" borderId="34" xfId="0" applyFont="1" applyFill="1" applyBorder="1"/>
    <xf numFmtId="0" fontId="3" fillId="5" borderId="33" xfId="0" applyFont="1" applyFill="1" applyBorder="1"/>
    <xf numFmtId="0" fontId="7" fillId="16" borderId="0" xfId="0" applyFont="1" applyFill="1" applyBorder="1"/>
    <xf numFmtId="0" fontId="1" fillId="0" borderId="0" xfId="0" applyFont="1"/>
    <xf numFmtId="0" fontId="0" fillId="15" borderId="0" xfId="0" applyFill="1"/>
    <xf numFmtId="0" fontId="0" fillId="14" borderId="43" xfId="0" applyFill="1" applyBorder="1"/>
    <xf numFmtId="0" fontId="0" fillId="14" borderId="44" xfId="0" applyFill="1" applyBorder="1"/>
    <xf numFmtId="0" fontId="0" fillId="14" borderId="45" xfId="0" applyFill="1" applyBorder="1"/>
    <xf numFmtId="0" fontId="0" fillId="14" borderId="46" xfId="0" applyFill="1" applyBorder="1"/>
    <xf numFmtId="0" fontId="0" fillId="14" borderId="47" xfId="0" applyFill="1" applyBorder="1"/>
    <xf numFmtId="0" fontId="0" fillId="14" borderId="0" xfId="0" applyFill="1" applyBorder="1"/>
    <xf numFmtId="0" fontId="0" fillId="14" borderId="48" xfId="0" applyFill="1" applyBorder="1"/>
    <xf numFmtId="0" fontId="0" fillId="14" borderId="49" xfId="0" applyFill="1" applyBorder="1"/>
    <xf numFmtId="0" fontId="0" fillId="14" borderId="50" xfId="0" applyFill="1" applyBorder="1"/>
    <xf numFmtId="0" fontId="0" fillId="2" borderId="1" xfId="0" applyFill="1" applyBorder="1"/>
    <xf numFmtId="0" fontId="0" fillId="17" borderId="1" xfId="0" applyFill="1" applyBorder="1"/>
    <xf numFmtId="2" fontId="0" fillId="0" borderId="1" xfId="0" applyNumberFormat="1" applyBorder="1"/>
    <xf numFmtId="2" fontId="0" fillId="0" borderId="1" xfId="0" applyNumberFormat="1" applyFill="1" applyBorder="1"/>
    <xf numFmtId="2" fontId="0" fillId="0" borderId="0" xfId="0" applyNumberFormat="1"/>
    <xf numFmtId="0" fontId="0" fillId="13" borderId="1" xfId="0" applyFill="1" applyBorder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 wrapText="1"/>
    </xf>
    <xf numFmtId="0" fontId="4" fillId="0" borderId="13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vertical="center" wrapText="1"/>
    </xf>
    <xf numFmtId="0" fontId="4" fillId="0" borderId="1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4" borderId="28" xfId="0" applyFont="1" applyFill="1" applyBorder="1" applyAlignment="1">
      <alignment horizontal="center" vertical="center" wrapText="1"/>
    </xf>
    <xf numFmtId="0" fontId="3" fillId="4" borderId="15" xfId="0" applyFont="1" applyFill="1" applyBorder="1" applyAlignment="1">
      <alignment horizontal="center" vertical="center" wrapText="1"/>
    </xf>
    <xf numFmtId="0" fontId="3" fillId="4" borderId="32" xfId="0" applyFont="1" applyFill="1" applyBorder="1" applyAlignment="1">
      <alignment horizontal="center" vertical="center" wrapText="1"/>
    </xf>
    <xf numFmtId="0" fontId="4" fillId="0" borderId="27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4" fillId="4" borderId="27" xfId="0" applyFont="1" applyFill="1" applyBorder="1" applyAlignment="1">
      <alignment horizontal="center" vertical="center" wrapText="1"/>
    </xf>
    <xf numFmtId="0" fontId="4" fillId="4" borderId="18" xfId="0" applyFont="1" applyFill="1" applyBorder="1" applyAlignment="1">
      <alignment horizontal="center" vertical="center" wrapText="1"/>
    </xf>
    <xf numFmtId="0" fontId="4" fillId="4" borderId="31" xfId="0" applyFont="1" applyFill="1" applyBorder="1" applyAlignment="1">
      <alignment horizontal="center" vertical="center" wrapText="1"/>
    </xf>
    <xf numFmtId="0" fontId="4" fillId="4" borderId="28" xfId="0" applyFont="1" applyFill="1" applyBorder="1" applyAlignment="1">
      <alignment horizontal="center" vertical="center" wrapText="1"/>
    </xf>
    <xf numFmtId="0" fontId="4" fillId="4" borderId="15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 vertical="center" wrapText="1"/>
    </xf>
    <xf numFmtId="0" fontId="4" fillId="0" borderId="28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 wrapText="1"/>
    </xf>
    <xf numFmtId="0" fontId="3" fillId="0" borderId="38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8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/>
    </xf>
    <xf numFmtId="0" fontId="0" fillId="6" borderId="2" xfId="0" applyFill="1" applyBorder="1" applyAlignment="1">
      <alignment horizontal="center" wrapText="1"/>
    </xf>
    <xf numFmtId="0" fontId="0" fillId="7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</cellXfs>
  <cellStyles count="1">
    <cellStyle name="Normal" xfId="0" builtinId="0"/>
  </cellStyles>
  <dxfs count="3">
    <dxf>
      <font>
        <b val="0"/>
        <i val="0"/>
        <strike/>
        <color rgb="FFFF0000"/>
      </font>
      <fill>
        <patternFill>
          <bgColor theme="0"/>
        </patternFill>
      </fill>
    </dxf>
    <dxf>
      <font>
        <b val="0"/>
        <i val="0"/>
        <strike/>
        <color rgb="FFFF0000"/>
      </font>
      <fill>
        <patternFill>
          <bgColor theme="0"/>
        </patternFill>
      </fill>
    </dxf>
    <dxf>
      <font>
        <b val="0"/>
        <i val="0"/>
        <strike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5BEB47"/>
      <color rgb="FFF3ECBB"/>
      <color rgb="FF88D56D"/>
      <color rgb="FFE7A257"/>
      <color rgb="FF68E137"/>
      <color rgb="FFF6701E"/>
      <color rgb="FFE7E200"/>
      <color rgb="FFE9DB9F"/>
      <color rgb="FFFF4B4B"/>
      <color rgb="FFF4D18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241045</xdr:colOff>
      <xdr:row>20</xdr:row>
      <xdr:rowOff>125329</xdr:rowOff>
    </xdr:from>
    <xdr:to>
      <xdr:col>30</xdr:col>
      <xdr:colOff>658101</xdr:colOff>
      <xdr:row>30</xdr:row>
      <xdr:rowOff>150395</xdr:rowOff>
    </xdr:to>
    <xdr:sp macro="" textlink="">
      <xdr:nvSpPr>
        <xdr:cNvPr id="7" name="Freeform 6"/>
        <xdr:cNvSpPr/>
      </xdr:nvSpPr>
      <xdr:spPr>
        <a:xfrm>
          <a:off x="16635951" y="3959142"/>
          <a:ext cx="2238713" cy="1930066"/>
        </a:xfrm>
        <a:custGeom>
          <a:avLst/>
          <a:gdLst>
            <a:gd name="connsiteX0" fmla="*/ 10364 w 2101477"/>
            <a:gd name="connsiteY0" fmla="*/ 1017671 h 1930066"/>
            <a:gd name="connsiteX1" fmla="*/ 45457 w 2101477"/>
            <a:gd name="connsiteY1" fmla="*/ 1052763 h 1930066"/>
            <a:gd name="connsiteX2" fmla="*/ 60496 w 2101477"/>
            <a:gd name="connsiteY2" fmla="*/ 1067803 h 1930066"/>
            <a:gd name="connsiteX3" fmla="*/ 90575 w 2101477"/>
            <a:gd name="connsiteY3" fmla="*/ 1077829 h 1930066"/>
            <a:gd name="connsiteX4" fmla="*/ 115641 w 2101477"/>
            <a:gd name="connsiteY4" fmla="*/ 1097882 h 1930066"/>
            <a:gd name="connsiteX5" fmla="*/ 145720 w 2101477"/>
            <a:gd name="connsiteY5" fmla="*/ 1117934 h 1930066"/>
            <a:gd name="connsiteX6" fmla="*/ 175799 w 2101477"/>
            <a:gd name="connsiteY6" fmla="*/ 1127960 h 1930066"/>
            <a:gd name="connsiteX7" fmla="*/ 200864 w 2101477"/>
            <a:gd name="connsiteY7" fmla="*/ 1148013 h 1930066"/>
            <a:gd name="connsiteX8" fmla="*/ 210891 w 2101477"/>
            <a:gd name="connsiteY8" fmla="*/ 1158039 h 1930066"/>
            <a:gd name="connsiteX9" fmla="*/ 225930 w 2101477"/>
            <a:gd name="connsiteY9" fmla="*/ 1163053 h 1930066"/>
            <a:gd name="connsiteX10" fmla="*/ 235957 w 2101477"/>
            <a:gd name="connsiteY10" fmla="*/ 1173079 h 1930066"/>
            <a:gd name="connsiteX11" fmla="*/ 250996 w 2101477"/>
            <a:gd name="connsiteY11" fmla="*/ 1178092 h 1930066"/>
            <a:gd name="connsiteX12" fmla="*/ 261022 w 2101477"/>
            <a:gd name="connsiteY12" fmla="*/ 1193132 h 1930066"/>
            <a:gd name="connsiteX13" fmla="*/ 271049 w 2101477"/>
            <a:gd name="connsiteY13" fmla="*/ 1203158 h 1930066"/>
            <a:gd name="connsiteX14" fmla="*/ 286088 w 2101477"/>
            <a:gd name="connsiteY14" fmla="*/ 1213184 h 1930066"/>
            <a:gd name="connsiteX15" fmla="*/ 301128 w 2101477"/>
            <a:gd name="connsiteY15" fmla="*/ 1228224 h 1930066"/>
            <a:gd name="connsiteX16" fmla="*/ 331207 w 2101477"/>
            <a:gd name="connsiteY16" fmla="*/ 1248276 h 1930066"/>
            <a:gd name="connsiteX17" fmla="*/ 356272 w 2101477"/>
            <a:gd name="connsiteY17" fmla="*/ 1263316 h 1930066"/>
            <a:gd name="connsiteX18" fmla="*/ 381338 w 2101477"/>
            <a:gd name="connsiteY18" fmla="*/ 1278355 h 1930066"/>
            <a:gd name="connsiteX19" fmla="*/ 416430 w 2101477"/>
            <a:gd name="connsiteY19" fmla="*/ 1308434 h 1930066"/>
            <a:gd name="connsiteX20" fmla="*/ 431470 w 2101477"/>
            <a:gd name="connsiteY20" fmla="*/ 1313447 h 1930066"/>
            <a:gd name="connsiteX21" fmla="*/ 451522 w 2101477"/>
            <a:gd name="connsiteY21" fmla="*/ 1333500 h 1930066"/>
            <a:gd name="connsiteX22" fmla="*/ 471575 w 2101477"/>
            <a:gd name="connsiteY22" fmla="*/ 1353553 h 1930066"/>
            <a:gd name="connsiteX23" fmla="*/ 501654 w 2101477"/>
            <a:gd name="connsiteY23" fmla="*/ 1363579 h 1930066"/>
            <a:gd name="connsiteX24" fmla="*/ 516693 w 2101477"/>
            <a:gd name="connsiteY24" fmla="*/ 1368592 h 1930066"/>
            <a:gd name="connsiteX25" fmla="*/ 546772 w 2101477"/>
            <a:gd name="connsiteY25" fmla="*/ 1383632 h 1930066"/>
            <a:gd name="connsiteX26" fmla="*/ 571838 w 2101477"/>
            <a:gd name="connsiteY26" fmla="*/ 1398671 h 1930066"/>
            <a:gd name="connsiteX27" fmla="*/ 601917 w 2101477"/>
            <a:gd name="connsiteY27" fmla="*/ 1418724 h 1930066"/>
            <a:gd name="connsiteX28" fmla="*/ 621970 w 2101477"/>
            <a:gd name="connsiteY28" fmla="*/ 1443789 h 1930066"/>
            <a:gd name="connsiteX29" fmla="*/ 647036 w 2101477"/>
            <a:gd name="connsiteY29" fmla="*/ 1468855 h 1930066"/>
            <a:gd name="connsiteX30" fmla="*/ 657062 w 2101477"/>
            <a:gd name="connsiteY30" fmla="*/ 1478882 h 1930066"/>
            <a:gd name="connsiteX31" fmla="*/ 672101 w 2101477"/>
            <a:gd name="connsiteY31" fmla="*/ 1483895 h 1930066"/>
            <a:gd name="connsiteX32" fmla="*/ 697167 w 2101477"/>
            <a:gd name="connsiteY32" fmla="*/ 1503947 h 1930066"/>
            <a:gd name="connsiteX33" fmla="*/ 707193 w 2101477"/>
            <a:gd name="connsiteY33" fmla="*/ 1513974 h 1930066"/>
            <a:gd name="connsiteX34" fmla="*/ 722233 w 2101477"/>
            <a:gd name="connsiteY34" fmla="*/ 1518987 h 1930066"/>
            <a:gd name="connsiteX35" fmla="*/ 737272 w 2101477"/>
            <a:gd name="connsiteY35" fmla="*/ 1529013 h 1930066"/>
            <a:gd name="connsiteX36" fmla="*/ 747299 w 2101477"/>
            <a:gd name="connsiteY36" fmla="*/ 1539039 h 1930066"/>
            <a:gd name="connsiteX37" fmla="*/ 762338 w 2101477"/>
            <a:gd name="connsiteY37" fmla="*/ 1544053 h 1930066"/>
            <a:gd name="connsiteX38" fmla="*/ 792417 w 2101477"/>
            <a:gd name="connsiteY38" fmla="*/ 1579145 h 1930066"/>
            <a:gd name="connsiteX39" fmla="*/ 822496 w 2101477"/>
            <a:gd name="connsiteY39" fmla="*/ 1604210 h 1930066"/>
            <a:gd name="connsiteX40" fmla="*/ 842549 w 2101477"/>
            <a:gd name="connsiteY40" fmla="*/ 1624263 h 1930066"/>
            <a:gd name="connsiteX41" fmla="*/ 852575 w 2101477"/>
            <a:gd name="connsiteY41" fmla="*/ 1639303 h 1930066"/>
            <a:gd name="connsiteX42" fmla="*/ 882654 w 2101477"/>
            <a:gd name="connsiteY42" fmla="*/ 1649329 h 1930066"/>
            <a:gd name="connsiteX43" fmla="*/ 927772 w 2101477"/>
            <a:gd name="connsiteY43" fmla="*/ 1669382 h 1930066"/>
            <a:gd name="connsiteX44" fmla="*/ 957851 w 2101477"/>
            <a:gd name="connsiteY44" fmla="*/ 1679408 h 1930066"/>
            <a:gd name="connsiteX45" fmla="*/ 987930 w 2101477"/>
            <a:gd name="connsiteY45" fmla="*/ 1699460 h 1930066"/>
            <a:gd name="connsiteX46" fmla="*/ 1028036 w 2101477"/>
            <a:gd name="connsiteY46" fmla="*/ 1729539 h 1930066"/>
            <a:gd name="connsiteX47" fmla="*/ 1058114 w 2101477"/>
            <a:gd name="connsiteY47" fmla="*/ 1744579 h 1930066"/>
            <a:gd name="connsiteX48" fmla="*/ 1083180 w 2101477"/>
            <a:gd name="connsiteY48" fmla="*/ 1764632 h 1930066"/>
            <a:gd name="connsiteX49" fmla="*/ 1098220 w 2101477"/>
            <a:gd name="connsiteY49" fmla="*/ 1789697 h 1930066"/>
            <a:gd name="connsiteX50" fmla="*/ 1113259 w 2101477"/>
            <a:gd name="connsiteY50" fmla="*/ 1819776 h 1930066"/>
            <a:gd name="connsiteX51" fmla="*/ 1128299 w 2101477"/>
            <a:gd name="connsiteY51" fmla="*/ 1824789 h 1930066"/>
            <a:gd name="connsiteX52" fmla="*/ 1168404 w 2101477"/>
            <a:gd name="connsiteY52" fmla="*/ 1844842 h 1930066"/>
            <a:gd name="connsiteX53" fmla="*/ 1183443 w 2101477"/>
            <a:gd name="connsiteY53" fmla="*/ 1849855 h 1930066"/>
            <a:gd name="connsiteX54" fmla="*/ 1193470 w 2101477"/>
            <a:gd name="connsiteY54" fmla="*/ 1879934 h 1930066"/>
            <a:gd name="connsiteX55" fmla="*/ 1203496 w 2101477"/>
            <a:gd name="connsiteY55" fmla="*/ 1894974 h 1930066"/>
            <a:gd name="connsiteX56" fmla="*/ 1218536 w 2101477"/>
            <a:gd name="connsiteY56" fmla="*/ 1920039 h 1930066"/>
            <a:gd name="connsiteX57" fmla="*/ 1253628 w 2101477"/>
            <a:gd name="connsiteY57" fmla="*/ 1930066 h 1930066"/>
            <a:gd name="connsiteX58" fmla="*/ 1303759 w 2101477"/>
            <a:gd name="connsiteY58" fmla="*/ 1925053 h 1930066"/>
            <a:gd name="connsiteX59" fmla="*/ 1313786 w 2101477"/>
            <a:gd name="connsiteY59" fmla="*/ 1915026 h 1930066"/>
            <a:gd name="connsiteX60" fmla="*/ 1348878 w 2101477"/>
            <a:gd name="connsiteY60" fmla="*/ 1905000 h 1930066"/>
            <a:gd name="connsiteX61" fmla="*/ 1378957 w 2101477"/>
            <a:gd name="connsiteY61" fmla="*/ 1894974 h 1930066"/>
            <a:gd name="connsiteX62" fmla="*/ 1409036 w 2101477"/>
            <a:gd name="connsiteY62" fmla="*/ 1884947 h 1930066"/>
            <a:gd name="connsiteX63" fmla="*/ 1424075 w 2101477"/>
            <a:gd name="connsiteY63" fmla="*/ 1879934 h 1930066"/>
            <a:gd name="connsiteX64" fmla="*/ 1454154 w 2101477"/>
            <a:gd name="connsiteY64" fmla="*/ 1864895 h 1930066"/>
            <a:gd name="connsiteX65" fmla="*/ 1474207 w 2101477"/>
            <a:gd name="connsiteY65" fmla="*/ 1844842 h 1930066"/>
            <a:gd name="connsiteX66" fmla="*/ 1504286 w 2101477"/>
            <a:gd name="connsiteY66" fmla="*/ 1834816 h 1930066"/>
            <a:gd name="connsiteX67" fmla="*/ 1529351 w 2101477"/>
            <a:gd name="connsiteY67" fmla="*/ 1814763 h 1930066"/>
            <a:gd name="connsiteX68" fmla="*/ 1544391 w 2101477"/>
            <a:gd name="connsiteY68" fmla="*/ 1809750 h 1930066"/>
            <a:gd name="connsiteX69" fmla="*/ 1589509 w 2101477"/>
            <a:gd name="connsiteY69" fmla="*/ 1774658 h 1930066"/>
            <a:gd name="connsiteX70" fmla="*/ 1619588 w 2101477"/>
            <a:gd name="connsiteY70" fmla="*/ 1764632 h 1930066"/>
            <a:gd name="connsiteX71" fmla="*/ 1654680 w 2101477"/>
            <a:gd name="connsiteY71" fmla="*/ 1739566 h 1930066"/>
            <a:gd name="connsiteX72" fmla="*/ 1679746 w 2101477"/>
            <a:gd name="connsiteY72" fmla="*/ 1724526 h 1930066"/>
            <a:gd name="connsiteX73" fmla="*/ 1694786 w 2101477"/>
            <a:gd name="connsiteY73" fmla="*/ 1709487 h 1930066"/>
            <a:gd name="connsiteX74" fmla="*/ 1724864 w 2101477"/>
            <a:gd name="connsiteY74" fmla="*/ 1689434 h 1930066"/>
            <a:gd name="connsiteX75" fmla="*/ 1749930 w 2101477"/>
            <a:gd name="connsiteY75" fmla="*/ 1669382 h 1930066"/>
            <a:gd name="connsiteX76" fmla="*/ 1759957 w 2101477"/>
            <a:gd name="connsiteY76" fmla="*/ 1659355 h 1930066"/>
            <a:gd name="connsiteX77" fmla="*/ 1810088 w 2101477"/>
            <a:gd name="connsiteY77" fmla="*/ 1644316 h 1930066"/>
            <a:gd name="connsiteX78" fmla="*/ 1840167 w 2101477"/>
            <a:gd name="connsiteY78" fmla="*/ 1634289 h 1930066"/>
            <a:gd name="connsiteX79" fmla="*/ 1870246 w 2101477"/>
            <a:gd name="connsiteY79" fmla="*/ 1619250 h 1930066"/>
            <a:gd name="connsiteX80" fmla="*/ 1880272 w 2101477"/>
            <a:gd name="connsiteY80" fmla="*/ 1604210 h 1930066"/>
            <a:gd name="connsiteX81" fmla="*/ 1920378 w 2101477"/>
            <a:gd name="connsiteY81" fmla="*/ 1594184 h 1930066"/>
            <a:gd name="connsiteX82" fmla="*/ 1950457 w 2101477"/>
            <a:gd name="connsiteY82" fmla="*/ 1554079 h 1930066"/>
            <a:gd name="connsiteX83" fmla="*/ 1965496 w 2101477"/>
            <a:gd name="connsiteY83" fmla="*/ 1549066 h 1930066"/>
            <a:gd name="connsiteX84" fmla="*/ 1990562 w 2101477"/>
            <a:gd name="connsiteY84" fmla="*/ 1534026 h 1930066"/>
            <a:gd name="connsiteX85" fmla="*/ 2005601 w 2101477"/>
            <a:gd name="connsiteY85" fmla="*/ 1518987 h 1930066"/>
            <a:gd name="connsiteX86" fmla="*/ 2035680 w 2101477"/>
            <a:gd name="connsiteY86" fmla="*/ 1503947 h 1930066"/>
            <a:gd name="connsiteX87" fmla="*/ 2060746 w 2101477"/>
            <a:gd name="connsiteY87" fmla="*/ 1483895 h 1930066"/>
            <a:gd name="connsiteX88" fmla="*/ 2095838 w 2101477"/>
            <a:gd name="connsiteY88" fmla="*/ 1453816 h 1930066"/>
            <a:gd name="connsiteX89" fmla="*/ 2085812 w 2101477"/>
            <a:gd name="connsiteY89" fmla="*/ 1433763 h 1930066"/>
            <a:gd name="connsiteX90" fmla="*/ 2065759 w 2101477"/>
            <a:gd name="connsiteY90" fmla="*/ 1403684 h 1930066"/>
            <a:gd name="connsiteX91" fmla="*/ 2050720 w 2101477"/>
            <a:gd name="connsiteY91" fmla="*/ 1393658 h 1930066"/>
            <a:gd name="connsiteX92" fmla="*/ 2040693 w 2101477"/>
            <a:gd name="connsiteY92" fmla="*/ 1383632 h 1930066"/>
            <a:gd name="connsiteX93" fmla="*/ 2025654 w 2101477"/>
            <a:gd name="connsiteY93" fmla="*/ 1378618 h 1930066"/>
            <a:gd name="connsiteX94" fmla="*/ 2010614 w 2101477"/>
            <a:gd name="connsiteY94" fmla="*/ 1368592 h 1930066"/>
            <a:gd name="connsiteX95" fmla="*/ 1965496 w 2101477"/>
            <a:gd name="connsiteY95" fmla="*/ 1358566 h 1930066"/>
            <a:gd name="connsiteX96" fmla="*/ 1935417 w 2101477"/>
            <a:gd name="connsiteY96" fmla="*/ 1348539 h 1930066"/>
            <a:gd name="connsiteX97" fmla="*/ 1920378 w 2101477"/>
            <a:gd name="connsiteY97" fmla="*/ 1343526 h 1930066"/>
            <a:gd name="connsiteX98" fmla="*/ 1905338 w 2101477"/>
            <a:gd name="connsiteY98" fmla="*/ 1338513 h 1930066"/>
            <a:gd name="connsiteX99" fmla="*/ 1890299 w 2101477"/>
            <a:gd name="connsiteY99" fmla="*/ 1278355 h 1930066"/>
            <a:gd name="connsiteX100" fmla="*/ 1885286 w 2101477"/>
            <a:gd name="connsiteY100" fmla="*/ 1263316 h 1930066"/>
            <a:gd name="connsiteX101" fmla="*/ 1875259 w 2101477"/>
            <a:gd name="connsiteY101" fmla="*/ 1253289 h 1930066"/>
            <a:gd name="connsiteX102" fmla="*/ 1860220 w 2101477"/>
            <a:gd name="connsiteY102" fmla="*/ 1223210 h 1930066"/>
            <a:gd name="connsiteX103" fmla="*/ 1855207 w 2101477"/>
            <a:gd name="connsiteY103" fmla="*/ 1208171 h 1930066"/>
            <a:gd name="connsiteX104" fmla="*/ 1840167 w 2101477"/>
            <a:gd name="connsiteY104" fmla="*/ 1198145 h 1930066"/>
            <a:gd name="connsiteX105" fmla="*/ 1825128 w 2101477"/>
            <a:gd name="connsiteY105" fmla="*/ 1153026 h 1930066"/>
            <a:gd name="connsiteX106" fmla="*/ 1840167 w 2101477"/>
            <a:gd name="connsiteY106" fmla="*/ 1143000 h 1930066"/>
            <a:gd name="connsiteX107" fmla="*/ 1845180 w 2101477"/>
            <a:gd name="connsiteY107" fmla="*/ 1127960 h 1930066"/>
            <a:gd name="connsiteX108" fmla="*/ 1855207 w 2101477"/>
            <a:gd name="connsiteY108" fmla="*/ 1117934 h 1930066"/>
            <a:gd name="connsiteX109" fmla="*/ 1850193 w 2101477"/>
            <a:gd name="connsiteY109" fmla="*/ 1102895 h 1930066"/>
            <a:gd name="connsiteX110" fmla="*/ 1850193 w 2101477"/>
            <a:gd name="connsiteY110" fmla="*/ 887329 h 1930066"/>
            <a:gd name="connsiteX111" fmla="*/ 1830141 w 2101477"/>
            <a:gd name="connsiteY111" fmla="*/ 777039 h 1930066"/>
            <a:gd name="connsiteX112" fmla="*/ 1815101 w 2101477"/>
            <a:gd name="connsiteY112" fmla="*/ 751974 h 1930066"/>
            <a:gd name="connsiteX113" fmla="*/ 1810088 w 2101477"/>
            <a:gd name="connsiteY113" fmla="*/ 736934 h 1930066"/>
            <a:gd name="connsiteX114" fmla="*/ 1805075 w 2101477"/>
            <a:gd name="connsiteY114" fmla="*/ 716882 h 1930066"/>
            <a:gd name="connsiteX115" fmla="*/ 1785022 w 2101477"/>
            <a:gd name="connsiteY115" fmla="*/ 696829 h 1930066"/>
            <a:gd name="connsiteX116" fmla="*/ 1774996 w 2101477"/>
            <a:gd name="connsiteY116" fmla="*/ 681789 h 1930066"/>
            <a:gd name="connsiteX117" fmla="*/ 1769983 w 2101477"/>
            <a:gd name="connsiteY117" fmla="*/ 636671 h 1930066"/>
            <a:gd name="connsiteX118" fmla="*/ 1764970 w 2101477"/>
            <a:gd name="connsiteY118" fmla="*/ 576513 h 1930066"/>
            <a:gd name="connsiteX119" fmla="*/ 1744917 w 2101477"/>
            <a:gd name="connsiteY119" fmla="*/ 551447 h 1930066"/>
            <a:gd name="connsiteX120" fmla="*/ 1724864 w 2101477"/>
            <a:gd name="connsiteY120" fmla="*/ 526382 h 1930066"/>
            <a:gd name="connsiteX121" fmla="*/ 1704812 w 2101477"/>
            <a:gd name="connsiteY121" fmla="*/ 506329 h 1930066"/>
            <a:gd name="connsiteX122" fmla="*/ 1694786 w 2101477"/>
            <a:gd name="connsiteY122" fmla="*/ 491289 h 1930066"/>
            <a:gd name="connsiteX123" fmla="*/ 1684759 w 2101477"/>
            <a:gd name="connsiteY123" fmla="*/ 461210 h 1930066"/>
            <a:gd name="connsiteX124" fmla="*/ 1669720 w 2101477"/>
            <a:gd name="connsiteY124" fmla="*/ 456197 h 1930066"/>
            <a:gd name="connsiteX125" fmla="*/ 1629614 w 2101477"/>
            <a:gd name="connsiteY125" fmla="*/ 431132 h 1930066"/>
            <a:gd name="connsiteX126" fmla="*/ 1614575 w 2101477"/>
            <a:gd name="connsiteY126" fmla="*/ 426118 h 1930066"/>
            <a:gd name="connsiteX127" fmla="*/ 1599536 w 2101477"/>
            <a:gd name="connsiteY127" fmla="*/ 411079 h 1930066"/>
            <a:gd name="connsiteX128" fmla="*/ 1594522 w 2101477"/>
            <a:gd name="connsiteY128" fmla="*/ 391026 h 1930066"/>
            <a:gd name="connsiteX129" fmla="*/ 1589509 w 2101477"/>
            <a:gd name="connsiteY129" fmla="*/ 375987 h 1930066"/>
            <a:gd name="connsiteX130" fmla="*/ 1604549 w 2101477"/>
            <a:gd name="connsiteY130" fmla="*/ 315829 h 1930066"/>
            <a:gd name="connsiteX131" fmla="*/ 1609562 w 2101477"/>
            <a:gd name="connsiteY131" fmla="*/ 300789 h 1930066"/>
            <a:gd name="connsiteX132" fmla="*/ 1634628 w 2101477"/>
            <a:gd name="connsiteY132" fmla="*/ 275724 h 1930066"/>
            <a:gd name="connsiteX133" fmla="*/ 1644654 w 2101477"/>
            <a:gd name="connsiteY133" fmla="*/ 245645 h 1930066"/>
            <a:gd name="connsiteX134" fmla="*/ 1649667 w 2101477"/>
            <a:gd name="connsiteY134" fmla="*/ 230605 h 1930066"/>
            <a:gd name="connsiteX135" fmla="*/ 1649667 w 2101477"/>
            <a:gd name="connsiteY135" fmla="*/ 145382 h 1930066"/>
            <a:gd name="connsiteX136" fmla="*/ 1634628 w 2101477"/>
            <a:gd name="connsiteY136" fmla="*/ 115303 h 1930066"/>
            <a:gd name="connsiteX137" fmla="*/ 1629614 w 2101477"/>
            <a:gd name="connsiteY137" fmla="*/ 100263 h 1930066"/>
            <a:gd name="connsiteX138" fmla="*/ 1634628 w 2101477"/>
            <a:gd name="connsiteY138" fmla="*/ 45118 h 1930066"/>
            <a:gd name="connsiteX139" fmla="*/ 1629614 w 2101477"/>
            <a:gd name="connsiteY139" fmla="*/ 30079 h 1930066"/>
            <a:gd name="connsiteX140" fmla="*/ 1589509 w 2101477"/>
            <a:gd name="connsiteY140" fmla="*/ 25066 h 1930066"/>
            <a:gd name="connsiteX141" fmla="*/ 1564443 w 2101477"/>
            <a:gd name="connsiteY141" fmla="*/ 20053 h 1930066"/>
            <a:gd name="connsiteX142" fmla="*/ 1549404 w 2101477"/>
            <a:gd name="connsiteY142" fmla="*/ 10026 h 1930066"/>
            <a:gd name="connsiteX143" fmla="*/ 1504286 w 2101477"/>
            <a:gd name="connsiteY143" fmla="*/ 0 h 1930066"/>
            <a:gd name="connsiteX144" fmla="*/ 1434101 w 2101477"/>
            <a:gd name="connsiteY144" fmla="*/ 10026 h 1930066"/>
            <a:gd name="connsiteX145" fmla="*/ 1399009 w 2101477"/>
            <a:gd name="connsiteY145" fmla="*/ 20053 h 1930066"/>
            <a:gd name="connsiteX146" fmla="*/ 1368930 w 2101477"/>
            <a:gd name="connsiteY146" fmla="*/ 35092 h 1930066"/>
            <a:gd name="connsiteX147" fmla="*/ 1353891 w 2101477"/>
            <a:gd name="connsiteY147" fmla="*/ 30079 h 1930066"/>
            <a:gd name="connsiteX148" fmla="*/ 1343864 w 2101477"/>
            <a:gd name="connsiteY148" fmla="*/ 20053 h 1930066"/>
            <a:gd name="connsiteX149" fmla="*/ 1303759 w 2101477"/>
            <a:gd name="connsiteY149" fmla="*/ 10026 h 1930066"/>
            <a:gd name="connsiteX150" fmla="*/ 1183443 w 2101477"/>
            <a:gd name="connsiteY150" fmla="*/ 20053 h 1930066"/>
            <a:gd name="connsiteX151" fmla="*/ 1148351 w 2101477"/>
            <a:gd name="connsiteY151" fmla="*/ 30079 h 1930066"/>
            <a:gd name="connsiteX152" fmla="*/ 1113259 w 2101477"/>
            <a:gd name="connsiteY152" fmla="*/ 35092 h 1930066"/>
            <a:gd name="connsiteX153" fmla="*/ 1083180 w 2101477"/>
            <a:gd name="connsiteY153" fmla="*/ 40105 h 1930066"/>
            <a:gd name="connsiteX154" fmla="*/ 1053101 w 2101477"/>
            <a:gd name="connsiteY154" fmla="*/ 50132 h 1930066"/>
            <a:gd name="connsiteX155" fmla="*/ 1007983 w 2101477"/>
            <a:gd name="connsiteY155" fmla="*/ 60158 h 1930066"/>
            <a:gd name="connsiteX156" fmla="*/ 922759 w 2101477"/>
            <a:gd name="connsiteY156" fmla="*/ 70184 h 1930066"/>
            <a:gd name="connsiteX157" fmla="*/ 907720 w 2101477"/>
            <a:gd name="connsiteY157" fmla="*/ 80210 h 1930066"/>
            <a:gd name="connsiteX158" fmla="*/ 892680 w 2101477"/>
            <a:gd name="connsiteY158" fmla="*/ 85224 h 1930066"/>
            <a:gd name="connsiteX159" fmla="*/ 862601 w 2101477"/>
            <a:gd name="connsiteY159" fmla="*/ 105276 h 1930066"/>
            <a:gd name="connsiteX160" fmla="*/ 822496 w 2101477"/>
            <a:gd name="connsiteY160" fmla="*/ 125329 h 1930066"/>
            <a:gd name="connsiteX161" fmla="*/ 777378 w 2101477"/>
            <a:gd name="connsiteY161" fmla="*/ 140368 h 1930066"/>
            <a:gd name="connsiteX162" fmla="*/ 747299 w 2101477"/>
            <a:gd name="connsiteY162" fmla="*/ 150395 h 1930066"/>
            <a:gd name="connsiteX163" fmla="*/ 732259 w 2101477"/>
            <a:gd name="connsiteY163" fmla="*/ 155408 h 1930066"/>
            <a:gd name="connsiteX164" fmla="*/ 717220 w 2101477"/>
            <a:gd name="connsiteY164" fmla="*/ 165434 h 1930066"/>
            <a:gd name="connsiteX165" fmla="*/ 687141 w 2101477"/>
            <a:gd name="connsiteY165" fmla="*/ 175460 h 1930066"/>
            <a:gd name="connsiteX166" fmla="*/ 677114 w 2101477"/>
            <a:gd name="connsiteY166" fmla="*/ 185487 h 1930066"/>
            <a:gd name="connsiteX167" fmla="*/ 662075 w 2101477"/>
            <a:gd name="connsiteY167" fmla="*/ 190500 h 1930066"/>
            <a:gd name="connsiteX168" fmla="*/ 647036 w 2101477"/>
            <a:gd name="connsiteY168" fmla="*/ 200526 h 1930066"/>
            <a:gd name="connsiteX169" fmla="*/ 652049 w 2101477"/>
            <a:gd name="connsiteY169" fmla="*/ 215566 h 1930066"/>
            <a:gd name="connsiteX170" fmla="*/ 667088 w 2101477"/>
            <a:gd name="connsiteY170" fmla="*/ 225592 h 1930066"/>
            <a:gd name="connsiteX171" fmla="*/ 682128 w 2101477"/>
            <a:gd name="connsiteY171" fmla="*/ 240632 h 1930066"/>
            <a:gd name="connsiteX172" fmla="*/ 702180 w 2101477"/>
            <a:gd name="connsiteY172" fmla="*/ 270710 h 1930066"/>
            <a:gd name="connsiteX173" fmla="*/ 707193 w 2101477"/>
            <a:gd name="connsiteY173" fmla="*/ 285750 h 1930066"/>
            <a:gd name="connsiteX174" fmla="*/ 722233 w 2101477"/>
            <a:gd name="connsiteY174" fmla="*/ 426118 h 1930066"/>
            <a:gd name="connsiteX175" fmla="*/ 737272 w 2101477"/>
            <a:gd name="connsiteY175" fmla="*/ 456197 h 1930066"/>
            <a:gd name="connsiteX176" fmla="*/ 747299 w 2101477"/>
            <a:gd name="connsiteY176" fmla="*/ 466224 h 1930066"/>
            <a:gd name="connsiteX177" fmla="*/ 767351 w 2101477"/>
            <a:gd name="connsiteY177" fmla="*/ 496303 h 1930066"/>
            <a:gd name="connsiteX178" fmla="*/ 762338 w 2101477"/>
            <a:gd name="connsiteY178" fmla="*/ 511342 h 1930066"/>
            <a:gd name="connsiteX179" fmla="*/ 732259 w 2101477"/>
            <a:gd name="connsiteY179" fmla="*/ 516355 h 1930066"/>
            <a:gd name="connsiteX180" fmla="*/ 626983 w 2101477"/>
            <a:gd name="connsiteY180" fmla="*/ 521368 h 1930066"/>
            <a:gd name="connsiteX181" fmla="*/ 616957 w 2101477"/>
            <a:gd name="connsiteY181" fmla="*/ 531395 h 1930066"/>
            <a:gd name="connsiteX182" fmla="*/ 601917 w 2101477"/>
            <a:gd name="connsiteY182" fmla="*/ 541421 h 1930066"/>
            <a:gd name="connsiteX183" fmla="*/ 581864 w 2101477"/>
            <a:gd name="connsiteY183" fmla="*/ 566487 h 1930066"/>
            <a:gd name="connsiteX184" fmla="*/ 526720 w 2101477"/>
            <a:gd name="connsiteY184" fmla="*/ 571500 h 1930066"/>
            <a:gd name="connsiteX185" fmla="*/ 521707 w 2101477"/>
            <a:gd name="connsiteY185" fmla="*/ 611605 h 1930066"/>
            <a:gd name="connsiteX186" fmla="*/ 516693 w 2101477"/>
            <a:gd name="connsiteY186" fmla="*/ 641684 h 1930066"/>
            <a:gd name="connsiteX187" fmla="*/ 511680 w 2101477"/>
            <a:gd name="connsiteY187" fmla="*/ 656724 h 1930066"/>
            <a:gd name="connsiteX188" fmla="*/ 496641 w 2101477"/>
            <a:gd name="connsiteY188" fmla="*/ 661737 h 1930066"/>
            <a:gd name="connsiteX189" fmla="*/ 431470 w 2101477"/>
            <a:gd name="connsiteY189" fmla="*/ 666750 h 1930066"/>
            <a:gd name="connsiteX190" fmla="*/ 386351 w 2101477"/>
            <a:gd name="connsiteY190" fmla="*/ 676776 h 1930066"/>
            <a:gd name="connsiteX191" fmla="*/ 366299 w 2101477"/>
            <a:gd name="connsiteY191" fmla="*/ 701842 h 1930066"/>
            <a:gd name="connsiteX192" fmla="*/ 336220 w 2101477"/>
            <a:gd name="connsiteY192" fmla="*/ 736934 h 1930066"/>
            <a:gd name="connsiteX193" fmla="*/ 331207 w 2101477"/>
            <a:gd name="connsiteY193" fmla="*/ 751974 h 1930066"/>
            <a:gd name="connsiteX194" fmla="*/ 301128 w 2101477"/>
            <a:gd name="connsiteY194" fmla="*/ 762000 h 1930066"/>
            <a:gd name="connsiteX195" fmla="*/ 266036 w 2101477"/>
            <a:gd name="connsiteY195" fmla="*/ 772026 h 1930066"/>
            <a:gd name="connsiteX196" fmla="*/ 215904 w 2101477"/>
            <a:gd name="connsiteY196" fmla="*/ 787066 h 1930066"/>
            <a:gd name="connsiteX197" fmla="*/ 200864 w 2101477"/>
            <a:gd name="connsiteY197" fmla="*/ 792079 h 1930066"/>
            <a:gd name="connsiteX198" fmla="*/ 165772 w 2101477"/>
            <a:gd name="connsiteY198" fmla="*/ 797092 h 1930066"/>
            <a:gd name="connsiteX199" fmla="*/ 150733 w 2101477"/>
            <a:gd name="connsiteY199" fmla="*/ 802105 h 1930066"/>
            <a:gd name="connsiteX200" fmla="*/ 140707 w 2101477"/>
            <a:gd name="connsiteY200" fmla="*/ 812132 h 1930066"/>
            <a:gd name="connsiteX201" fmla="*/ 110628 w 2101477"/>
            <a:gd name="connsiteY201" fmla="*/ 817145 h 1930066"/>
            <a:gd name="connsiteX202" fmla="*/ 80549 w 2101477"/>
            <a:gd name="connsiteY202" fmla="*/ 827171 h 1930066"/>
            <a:gd name="connsiteX203" fmla="*/ 65509 w 2101477"/>
            <a:gd name="connsiteY203" fmla="*/ 832184 h 1930066"/>
            <a:gd name="connsiteX204" fmla="*/ 50470 w 2101477"/>
            <a:gd name="connsiteY204" fmla="*/ 837197 h 1930066"/>
            <a:gd name="connsiteX205" fmla="*/ 35430 w 2101477"/>
            <a:gd name="connsiteY205" fmla="*/ 847224 h 1930066"/>
            <a:gd name="connsiteX206" fmla="*/ 30417 w 2101477"/>
            <a:gd name="connsiteY206" fmla="*/ 862263 h 1930066"/>
            <a:gd name="connsiteX207" fmla="*/ 20391 w 2101477"/>
            <a:gd name="connsiteY207" fmla="*/ 877303 h 1930066"/>
            <a:gd name="connsiteX208" fmla="*/ 15378 w 2101477"/>
            <a:gd name="connsiteY208" fmla="*/ 942474 h 1930066"/>
            <a:gd name="connsiteX209" fmla="*/ 338 w 2101477"/>
            <a:gd name="connsiteY209" fmla="*/ 977566 h 1930066"/>
            <a:gd name="connsiteX210" fmla="*/ 10364 w 2101477"/>
            <a:gd name="connsiteY210" fmla="*/ 1017671 h 193006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  <a:cxn ang="0">
              <a:pos x="connsiteX203" y="connsiteY203"/>
            </a:cxn>
            <a:cxn ang="0">
              <a:pos x="connsiteX204" y="connsiteY204"/>
            </a:cxn>
            <a:cxn ang="0">
              <a:pos x="connsiteX205" y="connsiteY205"/>
            </a:cxn>
            <a:cxn ang="0">
              <a:pos x="connsiteX206" y="connsiteY206"/>
            </a:cxn>
            <a:cxn ang="0">
              <a:pos x="connsiteX207" y="connsiteY207"/>
            </a:cxn>
            <a:cxn ang="0">
              <a:pos x="connsiteX208" y="connsiteY208"/>
            </a:cxn>
            <a:cxn ang="0">
              <a:pos x="connsiteX209" y="connsiteY209"/>
            </a:cxn>
            <a:cxn ang="0">
              <a:pos x="connsiteX210" y="connsiteY210"/>
            </a:cxn>
          </a:cxnLst>
          <a:rect l="l" t="t" r="r" b="b"/>
          <a:pathLst>
            <a:path w="2101477" h="1930066">
              <a:moveTo>
                <a:pt x="10364" y="1017671"/>
              </a:moveTo>
              <a:cubicBezTo>
                <a:pt x="17884" y="1030204"/>
                <a:pt x="11933" y="1024826"/>
                <a:pt x="45457" y="1052763"/>
              </a:cubicBezTo>
              <a:cubicBezTo>
                <a:pt x="50903" y="1057302"/>
                <a:pt x="54299" y="1064360"/>
                <a:pt x="60496" y="1067803"/>
              </a:cubicBezTo>
              <a:cubicBezTo>
                <a:pt x="69735" y="1072936"/>
                <a:pt x="90575" y="1077829"/>
                <a:pt x="90575" y="1077829"/>
              </a:cubicBezTo>
              <a:cubicBezTo>
                <a:pt x="109099" y="1105615"/>
                <a:pt x="90003" y="1083639"/>
                <a:pt x="115641" y="1097882"/>
              </a:cubicBezTo>
              <a:cubicBezTo>
                <a:pt x="126175" y="1103734"/>
                <a:pt x="134288" y="1114124"/>
                <a:pt x="145720" y="1117934"/>
              </a:cubicBezTo>
              <a:lnTo>
                <a:pt x="175799" y="1127960"/>
              </a:lnTo>
              <a:cubicBezTo>
                <a:pt x="199998" y="1152162"/>
                <a:pt x="169256" y="1122727"/>
                <a:pt x="200864" y="1148013"/>
              </a:cubicBezTo>
              <a:cubicBezTo>
                <a:pt x="204555" y="1150966"/>
                <a:pt x="206838" y="1155607"/>
                <a:pt x="210891" y="1158039"/>
              </a:cubicBezTo>
              <a:cubicBezTo>
                <a:pt x="215422" y="1160758"/>
                <a:pt x="220917" y="1161382"/>
                <a:pt x="225930" y="1163053"/>
              </a:cubicBezTo>
              <a:cubicBezTo>
                <a:pt x="229272" y="1166395"/>
                <a:pt x="231904" y="1170647"/>
                <a:pt x="235957" y="1173079"/>
              </a:cubicBezTo>
              <a:cubicBezTo>
                <a:pt x="240488" y="1175798"/>
                <a:pt x="246870" y="1174791"/>
                <a:pt x="250996" y="1178092"/>
              </a:cubicBezTo>
              <a:cubicBezTo>
                <a:pt x="255701" y="1181856"/>
                <a:pt x="257258" y="1188427"/>
                <a:pt x="261022" y="1193132"/>
              </a:cubicBezTo>
              <a:cubicBezTo>
                <a:pt x="263975" y="1196823"/>
                <a:pt x="267358" y="1200205"/>
                <a:pt x="271049" y="1203158"/>
              </a:cubicBezTo>
              <a:cubicBezTo>
                <a:pt x="275754" y="1206922"/>
                <a:pt x="281460" y="1209327"/>
                <a:pt x="286088" y="1213184"/>
              </a:cubicBezTo>
              <a:cubicBezTo>
                <a:pt x="291535" y="1217723"/>
                <a:pt x="295532" y="1223871"/>
                <a:pt x="301128" y="1228224"/>
              </a:cubicBezTo>
              <a:cubicBezTo>
                <a:pt x="310640" y="1235622"/>
                <a:pt x="322687" y="1239755"/>
                <a:pt x="331207" y="1248276"/>
              </a:cubicBezTo>
              <a:cubicBezTo>
                <a:pt x="344969" y="1262040"/>
                <a:pt x="336749" y="1256808"/>
                <a:pt x="356272" y="1263316"/>
              </a:cubicBezTo>
              <a:cubicBezTo>
                <a:pt x="393329" y="1300369"/>
                <a:pt x="335774" y="1245809"/>
                <a:pt x="381338" y="1278355"/>
              </a:cubicBezTo>
              <a:cubicBezTo>
                <a:pt x="410113" y="1298909"/>
                <a:pt x="390682" y="1295560"/>
                <a:pt x="416430" y="1308434"/>
              </a:cubicBezTo>
              <a:cubicBezTo>
                <a:pt x="421157" y="1310797"/>
                <a:pt x="426457" y="1311776"/>
                <a:pt x="431470" y="1313447"/>
              </a:cubicBezTo>
              <a:cubicBezTo>
                <a:pt x="441496" y="1343527"/>
                <a:pt x="428128" y="1316790"/>
                <a:pt x="451522" y="1333500"/>
              </a:cubicBezTo>
              <a:cubicBezTo>
                <a:pt x="459214" y="1338995"/>
                <a:pt x="462607" y="1350564"/>
                <a:pt x="471575" y="1353553"/>
              </a:cubicBezTo>
              <a:lnTo>
                <a:pt x="501654" y="1363579"/>
              </a:lnTo>
              <a:cubicBezTo>
                <a:pt x="506667" y="1365250"/>
                <a:pt x="512296" y="1365661"/>
                <a:pt x="516693" y="1368592"/>
              </a:cubicBezTo>
              <a:cubicBezTo>
                <a:pt x="536130" y="1381549"/>
                <a:pt x="526017" y="1376712"/>
                <a:pt x="546772" y="1383632"/>
              </a:cubicBezTo>
              <a:cubicBezTo>
                <a:pt x="578001" y="1414858"/>
                <a:pt x="532789" y="1372639"/>
                <a:pt x="571838" y="1398671"/>
              </a:cubicBezTo>
              <a:cubicBezTo>
                <a:pt x="609394" y="1423707"/>
                <a:pt x="566155" y="1406801"/>
                <a:pt x="601917" y="1418724"/>
              </a:cubicBezTo>
              <a:cubicBezTo>
                <a:pt x="610507" y="1444493"/>
                <a:pt x="600627" y="1425115"/>
                <a:pt x="621970" y="1443789"/>
              </a:cubicBezTo>
              <a:cubicBezTo>
                <a:pt x="630863" y="1451570"/>
                <a:pt x="638681" y="1460500"/>
                <a:pt x="647036" y="1468855"/>
              </a:cubicBezTo>
              <a:cubicBezTo>
                <a:pt x="650378" y="1472197"/>
                <a:pt x="652578" y="1477387"/>
                <a:pt x="657062" y="1478882"/>
              </a:cubicBezTo>
              <a:lnTo>
                <a:pt x="672101" y="1483895"/>
              </a:lnTo>
              <a:cubicBezTo>
                <a:pt x="696321" y="1508112"/>
                <a:pt x="665535" y="1478640"/>
                <a:pt x="697167" y="1503947"/>
              </a:cubicBezTo>
              <a:cubicBezTo>
                <a:pt x="700858" y="1506900"/>
                <a:pt x="703140" y="1511542"/>
                <a:pt x="707193" y="1513974"/>
              </a:cubicBezTo>
              <a:cubicBezTo>
                <a:pt x="711724" y="1516693"/>
                <a:pt x="717220" y="1517316"/>
                <a:pt x="722233" y="1518987"/>
              </a:cubicBezTo>
              <a:cubicBezTo>
                <a:pt x="727246" y="1522329"/>
                <a:pt x="732567" y="1525249"/>
                <a:pt x="737272" y="1529013"/>
              </a:cubicBezTo>
              <a:cubicBezTo>
                <a:pt x="740963" y="1531966"/>
                <a:pt x="743246" y="1536607"/>
                <a:pt x="747299" y="1539039"/>
              </a:cubicBezTo>
              <a:cubicBezTo>
                <a:pt x="751830" y="1541758"/>
                <a:pt x="757325" y="1542382"/>
                <a:pt x="762338" y="1544053"/>
              </a:cubicBezTo>
              <a:cubicBezTo>
                <a:pt x="771409" y="1557659"/>
                <a:pt x="777830" y="1569421"/>
                <a:pt x="792417" y="1579145"/>
              </a:cubicBezTo>
              <a:cubicBezTo>
                <a:pt x="813356" y="1593103"/>
                <a:pt x="803197" y="1584911"/>
                <a:pt x="822496" y="1604210"/>
              </a:cubicBezTo>
              <a:cubicBezTo>
                <a:pt x="833434" y="1637025"/>
                <a:pt x="818242" y="1604817"/>
                <a:pt x="842549" y="1624263"/>
              </a:cubicBezTo>
              <a:cubicBezTo>
                <a:pt x="847254" y="1628027"/>
                <a:pt x="847466" y="1636110"/>
                <a:pt x="852575" y="1639303"/>
              </a:cubicBezTo>
              <a:cubicBezTo>
                <a:pt x="861537" y="1644904"/>
                <a:pt x="882654" y="1649329"/>
                <a:pt x="882654" y="1649329"/>
              </a:cubicBezTo>
              <a:cubicBezTo>
                <a:pt x="906486" y="1665217"/>
                <a:pt x="891979" y="1657451"/>
                <a:pt x="927772" y="1669382"/>
              </a:cubicBezTo>
              <a:cubicBezTo>
                <a:pt x="927773" y="1669382"/>
                <a:pt x="957850" y="1679407"/>
                <a:pt x="957851" y="1679408"/>
              </a:cubicBezTo>
              <a:cubicBezTo>
                <a:pt x="967877" y="1686092"/>
                <a:pt x="979409" y="1690939"/>
                <a:pt x="987930" y="1699460"/>
              </a:cubicBezTo>
              <a:cubicBezTo>
                <a:pt x="999808" y="1711338"/>
                <a:pt x="1011027" y="1723868"/>
                <a:pt x="1028036" y="1729539"/>
              </a:cubicBezTo>
              <a:cubicBezTo>
                <a:pt x="1043920" y="1734835"/>
                <a:pt x="1044231" y="1733473"/>
                <a:pt x="1058114" y="1744579"/>
              </a:cubicBezTo>
              <a:cubicBezTo>
                <a:pt x="1093841" y="1773160"/>
                <a:pt x="1036878" y="1733761"/>
                <a:pt x="1083180" y="1764632"/>
              </a:cubicBezTo>
              <a:cubicBezTo>
                <a:pt x="1097382" y="1807237"/>
                <a:pt x="1077574" y="1755288"/>
                <a:pt x="1098220" y="1789697"/>
              </a:cubicBezTo>
              <a:cubicBezTo>
                <a:pt x="1106604" y="1803669"/>
                <a:pt x="1098631" y="1808074"/>
                <a:pt x="1113259" y="1819776"/>
              </a:cubicBezTo>
              <a:cubicBezTo>
                <a:pt x="1117386" y="1823077"/>
                <a:pt x="1123286" y="1823118"/>
                <a:pt x="1128299" y="1824789"/>
              </a:cubicBezTo>
              <a:cubicBezTo>
                <a:pt x="1145798" y="1842290"/>
                <a:pt x="1133841" y="1833321"/>
                <a:pt x="1168404" y="1844842"/>
              </a:cubicBezTo>
              <a:lnTo>
                <a:pt x="1183443" y="1849855"/>
              </a:lnTo>
              <a:cubicBezTo>
                <a:pt x="1186785" y="1859881"/>
                <a:pt x="1187608" y="1871140"/>
                <a:pt x="1193470" y="1879934"/>
              </a:cubicBezTo>
              <a:cubicBezTo>
                <a:pt x="1196812" y="1884947"/>
                <a:pt x="1200802" y="1889585"/>
                <a:pt x="1203496" y="1894974"/>
              </a:cubicBezTo>
              <a:cubicBezTo>
                <a:pt x="1210257" y="1908496"/>
                <a:pt x="1204546" y="1911645"/>
                <a:pt x="1218536" y="1920039"/>
              </a:cubicBezTo>
              <a:cubicBezTo>
                <a:pt x="1223677" y="1923124"/>
                <a:pt x="1249876" y="1929128"/>
                <a:pt x="1253628" y="1930066"/>
              </a:cubicBezTo>
              <a:cubicBezTo>
                <a:pt x="1270338" y="1928395"/>
                <a:pt x="1287467" y="1929126"/>
                <a:pt x="1303759" y="1925053"/>
              </a:cubicBezTo>
              <a:cubicBezTo>
                <a:pt x="1308345" y="1923907"/>
                <a:pt x="1309733" y="1917458"/>
                <a:pt x="1313786" y="1915026"/>
              </a:cubicBezTo>
              <a:cubicBezTo>
                <a:pt x="1319402" y="1911656"/>
                <a:pt x="1344508" y="1906311"/>
                <a:pt x="1348878" y="1905000"/>
              </a:cubicBezTo>
              <a:cubicBezTo>
                <a:pt x="1359001" y="1901963"/>
                <a:pt x="1368931" y="1898316"/>
                <a:pt x="1378957" y="1894974"/>
              </a:cubicBezTo>
              <a:lnTo>
                <a:pt x="1409036" y="1884947"/>
              </a:lnTo>
              <a:cubicBezTo>
                <a:pt x="1414049" y="1883276"/>
                <a:pt x="1419678" y="1882865"/>
                <a:pt x="1424075" y="1879934"/>
              </a:cubicBezTo>
              <a:cubicBezTo>
                <a:pt x="1443511" y="1866977"/>
                <a:pt x="1433398" y="1871813"/>
                <a:pt x="1454154" y="1864895"/>
              </a:cubicBezTo>
              <a:cubicBezTo>
                <a:pt x="1460838" y="1858211"/>
                <a:pt x="1465239" y="1847831"/>
                <a:pt x="1474207" y="1844842"/>
              </a:cubicBezTo>
              <a:lnTo>
                <a:pt x="1504286" y="1834816"/>
              </a:lnTo>
              <a:cubicBezTo>
                <a:pt x="1513612" y="1825490"/>
                <a:pt x="1516702" y="1821087"/>
                <a:pt x="1529351" y="1814763"/>
              </a:cubicBezTo>
              <a:cubicBezTo>
                <a:pt x="1534078" y="1812400"/>
                <a:pt x="1539378" y="1811421"/>
                <a:pt x="1544391" y="1809750"/>
              </a:cubicBezTo>
              <a:cubicBezTo>
                <a:pt x="1572260" y="1767945"/>
                <a:pt x="1550442" y="1785312"/>
                <a:pt x="1589509" y="1774658"/>
              </a:cubicBezTo>
              <a:cubicBezTo>
                <a:pt x="1599705" y="1771877"/>
                <a:pt x="1619588" y="1764632"/>
                <a:pt x="1619588" y="1764632"/>
              </a:cubicBezTo>
              <a:cubicBezTo>
                <a:pt x="1643377" y="1740843"/>
                <a:pt x="1630673" y="1747568"/>
                <a:pt x="1654680" y="1739566"/>
              </a:cubicBezTo>
              <a:cubicBezTo>
                <a:pt x="1685905" y="1708341"/>
                <a:pt x="1640702" y="1750554"/>
                <a:pt x="1679746" y="1724526"/>
              </a:cubicBezTo>
              <a:cubicBezTo>
                <a:pt x="1685645" y="1720593"/>
                <a:pt x="1689190" y="1713840"/>
                <a:pt x="1694786" y="1709487"/>
              </a:cubicBezTo>
              <a:cubicBezTo>
                <a:pt x="1704298" y="1702089"/>
                <a:pt x="1716343" y="1697954"/>
                <a:pt x="1724864" y="1689434"/>
              </a:cubicBezTo>
              <a:cubicBezTo>
                <a:pt x="1749080" y="1665221"/>
                <a:pt x="1718303" y="1694684"/>
                <a:pt x="1749930" y="1669382"/>
              </a:cubicBezTo>
              <a:cubicBezTo>
                <a:pt x="1753621" y="1666429"/>
                <a:pt x="1755729" y="1661469"/>
                <a:pt x="1759957" y="1659355"/>
              </a:cubicBezTo>
              <a:cubicBezTo>
                <a:pt x="1777681" y="1650493"/>
                <a:pt x="1792098" y="1649713"/>
                <a:pt x="1810088" y="1644316"/>
              </a:cubicBezTo>
              <a:cubicBezTo>
                <a:pt x="1820211" y="1641279"/>
                <a:pt x="1831373" y="1640151"/>
                <a:pt x="1840167" y="1634289"/>
              </a:cubicBezTo>
              <a:cubicBezTo>
                <a:pt x="1859604" y="1621332"/>
                <a:pt x="1849491" y="1626168"/>
                <a:pt x="1870246" y="1619250"/>
              </a:cubicBezTo>
              <a:cubicBezTo>
                <a:pt x="1873588" y="1614237"/>
                <a:pt x="1875567" y="1607974"/>
                <a:pt x="1880272" y="1604210"/>
              </a:cubicBezTo>
              <a:cubicBezTo>
                <a:pt x="1885410" y="1600100"/>
                <a:pt x="1919131" y="1594433"/>
                <a:pt x="1920378" y="1594184"/>
              </a:cubicBezTo>
              <a:cubicBezTo>
                <a:pt x="1922041" y="1591690"/>
                <a:pt x="1940150" y="1560263"/>
                <a:pt x="1950457" y="1554079"/>
              </a:cubicBezTo>
              <a:cubicBezTo>
                <a:pt x="1954988" y="1551360"/>
                <a:pt x="1960483" y="1550737"/>
                <a:pt x="1965496" y="1549066"/>
              </a:cubicBezTo>
              <a:cubicBezTo>
                <a:pt x="1996715" y="1517844"/>
                <a:pt x="1951521" y="1560052"/>
                <a:pt x="1990562" y="1534026"/>
              </a:cubicBezTo>
              <a:cubicBezTo>
                <a:pt x="1996461" y="1530094"/>
                <a:pt x="2000155" y="1523526"/>
                <a:pt x="2005601" y="1518987"/>
              </a:cubicBezTo>
              <a:cubicBezTo>
                <a:pt x="2018559" y="1508188"/>
                <a:pt x="2020606" y="1508972"/>
                <a:pt x="2035680" y="1503947"/>
              </a:cubicBezTo>
              <a:cubicBezTo>
                <a:pt x="2069827" y="1469804"/>
                <a:pt x="2016460" y="1521855"/>
                <a:pt x="2060746" y="1483895"/>
              </a:cubicBezTo>
              <a:cubicBezTo>
                <a:pt x="2103293" y="1447426"/>
                <a:pt x="2061312" y="1476833"/>
                <a:pt x="2095838" y="1453816"/>
              </a:cubicBezTo>
              <a:cubicBezTo>
                <a:pt x="2105864" y="1423736"/>
                <a:pt x="2102522" y="1450473"/>
                <a:pt x="2085812" y="1433763"/>
              </a:cubicBezTo>
              <a:cubicBezTo>
                <a:pt x="2077291" y="1425242"/>
                <a:pt x="2075785" y="1410368"/>
                <a:pt x="2065759" y="1403684"/>
              </a:cubicBezTo>
              <a:cubicBezTo>
                <a:pt x="2060746" y="1400342"/>
                <a:pt x="2055425" y="1397422"/>
                <a:pt x="2050720" y="1393658"/>
              </a:cubicBezTo>
              <a:cubicBezTo>
                <a:pt x="2047029" y="1390705"/>
                <a:pt x="2044746" y="1386064"/>
                <a:pt x="2040693" y="1383632"/>
              </a:cubicBezTo>
              <a:cubicBezTo>
                <a:pt x="2036162" y="1380913"/>
                <a:pt x="2030380" y="1380981"/>
                <a:pt x="2025654" y="1378618"/>
              </a:cubicBezTo>
              <a:cubicBezTo>
                <a:pt x="2020265" y="1375923"/>
                <a:pt x="2016152" y="1370965"/>
                <a:pt x="2010614" y="1368592"/>
              </a:cubicBezTo>
              <a:cubicBezTo>
                <a:pt x="2002734" y="1365215"/>
                <a:pt x="1972041" y="1360351"/>
                <a:pt x="1965496" y="1358566"/>
              </a:cubicBezTo>
              <a:cubicBezTo>
                <a:pt x="1955300" y="1355785"/>
                <a:pt x="1945443" y="1351881"/>
                <a:pt x="1935417" y="1348539"/>
              </a:cubicBezTo>
              <a:lnTo>
                <a:pt x="1920378" y="1343526"/>
              </a:lnTo>
              <a:lnTo>
                <a:pt x="1905338" y="1338513"/>
              </a:lnTo>
              <a:cubicBezTo>
                <a:pt x="1898588" y="1298010"/>
                <a:pt x="1903539" y="1318076"/>
                <a:pt x="1890299" y="1278355"/>
              </a:cubicBezTo>
              <a:cubicBezTo>
                <a:pt x="1888628" y="1273342"/>
                <a:pt x="1889022" y="1267052"/>
                <a:pt x="1885286" y="1263316"/>
              </a:cubicBezTo>
              <a:lnTo>
                <a:pt x="1875259" y="1253289"/>
              </a:lnTo>
              <a:cubicBezTo>
                <a:pt x="1862659" y="1215489"/>
                <a:pt x="1879655" y="1262082"/>
                <a:pt x="1860220" y="1223210"/>
              </a:cubicBezTo>
              <a:cubicBezTo>
                <a:pt x="1857857" y="1218484"/>
                <a:pt x="1858508" y="1212297"/>
                <a:pt x="1855207" y="1208171"/>
              </a:cubicBezTo>
              <a:cubicBezTo>
                <a:pt x="1851443" y="1203466"/>
                <a:pt x="1845180" y="1201487"/>
                <a:pt x="1840167" y="1198145"/>
              </a:cubicBezTo>
              <a:cubicBezTo>
                <a:pt x="1829986" y="1182873"/>
                <a:pt x="1810688" y="1171076"/>
                <a:pt x="1825128" y="1153026"/>
              </a:cubicBezTo>
              <a:cubicBezTo>
                <a:pt x="1828892" y="1148321"/>
                <a:pt x="1835154" y="1146342"/>
                <a:pt x="1840167" y="1143000"/>
              </a:cubicBezTo>
              <a:cubicBezTo>
                <a:pt x="1841838" y="1137987"/>
                <a:pt x="1842461" y="1132491"/>
                <a:pt x="1845180" y="1127960"/>
              </a:cubicBezTo>
              <a:cubicBezTo>
                <a:pt x="1847612" y="1123907"/>
                <a:pt x="1854280" y="1122569"/>
                <a:pt x="1855207" y="1117934"/>
              </a:cubicBezTo>
              <a:cubicBezTo>
                <a:pt x="1856243" y="1112752"/>
                <a:pt x="1851864" y="1107908"/>
                <a:pt x="1850193" y="1102895"/>
              </a:cubicBezTo>
              <a:cubicBezTo>
                <a:pt x="1834143" y="1006592"/>
                <a:pt x="1850193" y="1114704"/>
                <a:pt x="1850193" y="887329"/>
              </a:cubicBezTo>
              <a:cubicBezTo>
                <a:pt x="1850193" y="790385"/>
                <a:pt x="1866460" y="813360"/>
                <a:pt x="1830141" y="777039"/>
              </a:cubicBezTo>
              <a:cubicBezTo>
                <a:pt x="1815939" y="734434"/>
                <a:pt x="1835747" y="786383"/>
                <a:pt x="1815101" y="751974"/>
              </a:cubicBezTo>
              <a:cubicBezTo>
                <a:pt x="1812382" y="747443"/>
                <a:pt x="1811540" y="742015"/>
                <a:pt x="1810088" y="736934"/>
              </a:cubicBezTo>
              <a:cubicBezTo>
                <a:pt x="1808195" y="730309"/>
                <a:pt x="1808727" y="722724"/>
                <a:pt x="1805075" y="716882"/>
              </a:cubicBezTo>
              <a:cubicBezTo>
                <a:pt x="1800065" y="708866"/>
                <a:pt x="1790265" y="704695"/>
                <a:pt x="1785022" y="696829"/>
              </a:cubicBezTo>
              <a:lnTo>
                <a:pt x="1774996" y="681789"/>
              </a:lnTo>
              <a:cubicBezTo>
                <a:pt x="1773325" y="666750"/>
                <a:pt x="1771418" y="651735"/>
                <a:pt x="1769983" y="636671"/>
              </a:cubicBezTo>
              <a:cubicBezTo>
                <a:pt x="1768075" y="616639"/>
                <a:pt x="1768916" y="596244"/>
                <a:pt x="1764970" y="576513"/>
              </a:cubicBezTo>
              <a:cubicBezTo>
                <a:pt x="1762913" y="566231"/>
                <a:pt x="1750894" y="558918"/>
                <a:pt x="1744917" y="551447"/>
              </a:cubicBezTo>
              <a:cubicBezTo>
                <a:pt x="1719631" y="519839"/>
                <a:pt x="1749066" y="550581"/>
                <a:pt x="1724864" y="526382"/>
              </a:cubicBezTo>
              <a:cubicBezTo>
                <a:pt x="1713926" y="493567"/>
                <a:pt x="1729118" y="525775"/>
                <a:pt x="1704812" y="506329"/>
              </a:cubicBezTo>
              <a:cubicBezTo>
                <a:pt x="1700107" y="502565"/>
                <a:pt x="1697233" y="496795"/>
                <a:pt x="1694786" y="491289"/>
              </a:cubicBezTo>
              <a:cubicBezTo>
                <a:pt x="1690494" y="481631"/>
                <a:pt x="1694785" y="464552"/>
                <a:pt x="1684759" y="461210"/>
              </a:cubicBezTo>
              <a:lnTo>
                <a:pt x="1669720" y="456197"/>
              </a:lnTo>
              <a:cubicBezTo>
                <a:pt x="1653830" y="432364"/>
                <a:pt x="1665410" y="443064"/>
                <a:pt x="1629614" y="431132"/>
              </a:cubicBezTo>
              <a:lnTo>
                <a:pt x="1614575" y="426118"/>
              </a:lnTo>
              <a:cubicBezTo>
                <a:pt x="1609562" y="421105"/>
                <a:pt x="1603053" y="417234"/>
                <a:pt x="1599536" y="411079"/>
              </a:cubicBezTo>
              <a:cubicBezTo>
                <a:pt x="1596117" y="405097"/>
                <a:pt x="1596415" y="397651"/>
                <a:pt x="1594522" y="391026"/>
              </a:cubicBezTo>
              <a:cubicBezTo>
                <a:pt x="1593070" y="385945"/>
                <a:pt x="1591180" y="381000"/>
                <a:pt x="1589509" y="375987"/>
              </a:cubicBezTo>
              <a:cubicBezTo>
                <a:pt x="1598492" y="295133"/>
                <a:pt x="1584812" y="355302"/>
                <a:pt x="1604549" y="315829"/>
              </a:cubicBezTo>
              <a:cubicBezTo>
                <a:pt x="1606912" y="311102"/>
                <a:pt x="1606391" y="305017"/>
                <a:pt x="1609562" y="300789"/>
              </a:cubicBezTo>
              <a:cubicBezTo>
                <a:pt x="1616652" y="291336"/>
                <a:pt x="1634628" y="275724"/>
                <a:pt x="1634628" y="275724"/>
              </a:cubicBezTo>
              <a:lnTo>
                <a:pt x="1644654" y="245645"/>
              </a:lnTo>
              <a:lnTo>
                <a:pt x="1649667" y="230605"/>
              </a:lnTo>
              <a:cubicBezTo>
                <a:pt x="1655926" y="186791"/>
                <a:pt x="1657460" y="196039"/>
                <a:pt x="1649667" y="145382"/>
              </a:cubicBezTo>
              <a:cubicBezTo>
                <a:pt x="1646867" y="127180"/>
                <a:pt x="1642890" y="131827"/>
                <a:pt x="1634628" y="115303"/>
              </a:cubicBezTo>
              <a:cubicBezTo>
                <a:pt x="1632265" y="110576"/>
                <a:pt x="1631285" y="105276"/>
                <a:pt x="1629614" y="100263"/>
              </a:cubicBezTo>
              <a:cubicBezTo>
                <a:pt x="1631285" y="81881"/>
                <a:pt x="1634628" y="63575"/>
                <a:pt x="1634628" y="45118"/>
              </a:cubicBezTo>
              <a:cubicBezTo>
                <a:pt x="1634628" y="39834"/>
                <a:pt x="1634443" y="32225"/>
                <a:pt x="1629614" y="30079"/>
              </a:cubicBezTo>
              <a:cubicBezTo>
                <a:pt x="1617303" y="24608"/>
                <a:pt x="1602825" y="27115"/>
                <a:pt x="1589509" y="25066"/>
              </a:cubicBezTo>
              <a:cubicBezTo>
                <a:pt x="1581087" y="23770"/>
                <a:pt x="1572798" y="21724"/>
                <a:pt x="1564443" y="20053"/>
              </a:cubicBezTo>
              <a:cubicBezTo>
                <a:pt x="1559430" y="16711"/>
                <a:pt x="1554793" y="12721"/>
                <a:pt x="1549404" y="10026"/>
              </a:cubicBezTo>
              <a:cubicBezTo>
                <a:pt x="1537065" y="3856"/>
                <a:pt x="1515835" y="1925"/>
                <a:pt x="1504286" y="0"/>
              </a:cubicBezTo>
              <a:cubicBezTo>
                <a:pt x="1416095" y="8017"/>
                <a:pt x="1474606" y="-1547"/>
                <a:pt x="1434101" y="10026"/>
              </a:cubicBezTo>
              <a:cubicBezTo>
                <a:pt x="1426600" y="12169"/>
                <a:pt x="1407026" y="16044"/>
                <a:pt x="1399009" y="20053"/>
              </a:cubicBezTo>
              <a:cubicBezTo>
                <a:pt x="1360144" y="39486"/>
                <a:pt x="1406728" y="22494"/>
                <a:pt x="1368930" y="35092"/>
              </a:cubicBezTo>
              <a:cubicBezTo>
                <a:pt x="1363917" y="33421"/>
                <a:pt x="1358422" y="32798"/>
                <a:pt x="1353891" y="30079"/>
              </a:cubicBezTo>
              <a:cubicBezTo>
                <a:pt x="1349838" y="27647"/>
                <a:pt x="1348252" y="21808"/>
                <a:pt x="1343864" y="20053"/>
              </a:cubicBezTo>
              <a:cubicBezTo>
                <a:pt x="1331070" y="14935"/>
                <a:pt x="1303759" y="10026"/>
                <a:pt x="1303759" y="10026"/>
              </a:cubicBezTo>
              <a:cubicBezTo>
                <a:pt x="1278369" y="11840"/>
                <a:pt x="1212844" y="15852"/>
                <a:pt x="1183443" y="20053"/>
              </a:cubicBezTo>
              <a:cubicBezTo>
                <a:pt x="1139834" y="26283"/>
                <a:pt x="1184064" y="22937"/>
                <a:pt x="1148351" y="30079"/>
              </a:cubicBezTo>
              <a:cubicBezTo>
                <a:pt x="1136764" y="32396"/>
                <a:pt x="1124938" y="33295"/>
                <a:pt x="1113259" y="35092"/>
              </a:cubicBezTo>
              <a:cubicBezTo>
                <a:pt x="1103213" y="36638"/>
                <a:pt x="1093206" y="38434"/>
                <a:pt x="1083180" y="40105"/>
              </a:cubicBezTo>
              <a:cubicBezTo>
                <a:pt x="1073154" y="43447"/>
                <a:pt x="1063354" y="47569"/>
                <a:pt x="1053101" y="50132"/>
              </a:cubicBezTo>
              <a:cubicBezTo>
                <a:pt x="1037132" y="54124"/>
                <a:pt x="1024532" y="57612"/>
                <a:pt x="1007983" y="60158"/>
              </a:cubicBezTo>
              <a:cubicBezTo>
                <a:pt x="990067" y="62914"/>
                <a:pt x="939480" y="68326"/>
                <a:pt x="922759" y="70184"/>
              </a:cubicBezTo>
              <a:cubicBezTo>
                <a:pt x="917746" y="73526"/>
                <a:pt x="913109" y="77516"/>
                <a:pt x="907720" y="80210"/>
              </a:cubicBezTo>
              <a:cubicBezTo>
                <a:pt x="902993" y="82573"/>
                <a:pt x="897077" y="82293"/>
                <a:pt x="892680" y="85224"/>
              </a:cubicBezTo>
              <a:cubicBezTo>
                <a:pt x="855131" y="110257"/>
                <a:pt x="898360" y="93357"/>
                <a:pt x="862601" y="105276"/>
              </a:cubicBezTo>
              <a:cubicBezTo>
                <a:pt x="845102" y="122777"/>
                <a:pt x="857059" y="113808"/>
                <a:pt x="822496" y="125329"/>
              </a:cubicBezTo>
              <a:lnTo>
                <a:pt x="777378" y="140368"/>
              </a:lnTo>
              <a:lnTo>
                <a:pt x="747299" y="150395"/>
              </a:lnTo>
              <a:lnTo>
                <a:pt x="732259" y="155408"/>
              </a:lnTo>
              <a:cubicBezTo>
                <a:pt x="727246" y="158750"/>
                <a:pt x="722726" y="162987"/>
                <a:pt x="717220" y="165434"/>
              </a:cubicBezTo>
              <a:cubicBezTo>
                <a:pt x="707562" y="169726"/>
                <a:pt x="687141" y="175460"/>
                <a:pt x="687141" y="175460"/>
              </a:cubicBezTo>
              <a:cubicBezTo>
                <a:pt x="683799" y="178802"/>
                <a:pt x="681167" y="183055"/>
                <a:pt x="677114" y="185487"/>
              </a:cubicBezTo>
              <a:cubicBezTo>
                <a:pt x="672583" y="188206"/>
                <a:pt x="666801" y="188137"/>
                <a:pt x="662075" y="190500"/>
              </a:cubicBezTo>
              <a:cubicBezTo>
                <a:pt x="656686" y="193194"/>
                <a:pt x="652049" y="197184"/>
                <a:pt x="647036" y="200526"/>
              </a:cubicBezTo>
              <a:cubicBezTo>
                <a:pt x="648707" y="205539"/>
                <a:pt x="648748" y="211439"/>
                <a:pt x="652049" y="215566"/>
              </a:cubicBezTo>
              <a:cubicBezTo>
                <a:pt x="655813" y="220271"/>
                <a:pt x="662460" y="221735"/>
                <a:pt x="667088" y="225592"/>
              </a:cubicBezTo>
              <a:cubicBezTo>
                <a:pt x="672535" y="230131"/>
                <a:pt x="677775" y="235036"/>
                <a:pt x="682128" y="240632"/>
              </a:cubicBezTo>
              <a:cubicBezTo>
                <a:pt x="689526" y="250143"/>
                <a:pt x="702180" y="270710"/>
                <a:pt x="702180" y="270710"/>
              </a:cubicBezTo>
              <a:cubicBezTo>
                <a:pt x="703851" y="275723"/>
                <a:pt x="706587" y="280500"/>
                <a:pt x="707193" y="285750"/>
              </a:cubicBezTo>
              <a:cubicBezTo>
                <a:pt x="712289" y="329914"/>
                <a:pt x="710906" y="380809"/>
                <a:pt x="722233" y="426118"/>
              </a:cubicBezTo>
              <a:cubicBezTo>
                <a:pt x="725603" y="439597"/>
                <a:pt x="728360" y="445058"/>
                <a:pt x="737272" y="456197"/>
              </a:cubicBezTo>
              <a:cubicBezTo>
                <a:pt x="740225" y="459888"/>
                <a:pt x="744463" y="462443"/>
                <a:pt x="747299" y="466224"/>
              </a:cubicBezTo>
              <a:cubicBezTo>
                <a:pt x="754529" y="475864"/>
                <a:pt x="767351" y="496303"/>
                <a:pt x="767351" y="496303"/>
              </a:cubicBezTo>
              <a:cubicBezTo>
                <a:pt x="765680" y="501316"/>
                <a:pt x="766926" y="508720"/>
                <a:pt x="762338" y="511342"/>
              </a:cubicBezTo>
              <a:cubicBezTo>
                <a:pt x="753513" y="516385"/>
                <a:pt x="742396" y="515604"/>
                <a:pt x="732259" y="516355"/>
              </a:cubicBezTo>
              <a:cubicBezTo>
                <a:pt x="697223" y="518950"/>
                <a:pt x="662075" y="519697"/>
                <a:pt x="626983" y="521368"/>
              </a:cubicBezTo>
              <a:cubicBezTo>
                <a:pt x="623641" y="524710"/>
                <a:pt x="620648" y="528442"/>
                <a:pt x="616957" y="531395"/>
              </a:cubicBezTo>
              <a:cubicBezTo>
                <a:pt x="612252" y="535159"/>
                <a:pt x="606178" y="537161"/>
                <a:pt x="601917" y="541421"/>
              </a:cubicBezTo>
              <a:cubicBezTo>
                <a:pt x="599259" y="544079"/>
                <a:pt x="588314" y="564998"/>
                <a:pt x="581864" y="566487"/>
              </a:cubicBezTo>
              <a:cubicBezTo>
                <a:pt x="563880" y="570637"/>
                <a:pt x="545101" y="569829"/>
                <a:pt x="526720" y="571500"/>
              </a:cubicBezTo>
              <a:cubicBezTo>
                <a:pt x="525049" y="584868"/>
                <a:pt x="523612" y="598268"/>
                <a:pt x="521707" y="611605"/>
              </a:cubicBezTo>
              <a:cubicBezTo>
                <a:pt x="520269" y="621668"/>
                <a:pt x="518898" y="631761"/>
                <a:pt x="516693" y="641684"/>
              </a:cubicBezTo>
              <a:cubicBezTo>
                <a:pt x="515547" y="646843"/>
                <a:pt x="515417" y="652987"/>
                <a:pt x="511680" y="656724"/>
              </a:cubicBezTo>
              <a:cubicBezTo>
                <a:pt x="507944" y="660461"/>
                <a:pt x="501884" y="661082"/>
                <a:pt x="496641" y="661737"/>
              </a:cubicBezTo>
              <a:cubicBezTo>
                <a:pt x="475021" y="664439"/>
                <a:pt x="453194" y="665079"/>
                <a:pt x="431470" y="666750"/>
              </a:cubicBezTo>
              <a:cubicBezTo>
                <a:pt x="425398" y="667762"/>
                <a:pt x="395843" y="671081"/>
                <a:pt x="386351" y="676776"/>
              </a:cubicBezTo>
              <a:cubicBezTo>
                <a:pt x="376315" y="682798"/>
                <a:pt x="373530" y="693406"/>
                <a:pt x="366299" y="701842"/>
              </a:cubicBezTo>
              <a:cubicBezTo>
                <a:pt x="329830" y="744389"/>
                <a:pt x="359237" y="702408"/>
                <a:pt x="336220" y="736934"/>
              </a:cubicBezTo>
              <a:cubicBezTo>
                <a:pt x="334549" y="741947"/>
                <a:pt x="335507" y="748902"/>
                <a:pt x="331207" y="751974"/>
              </a:cubicBezTo>
              <a:cubicBezTo>
                <a:pt x="322607" y="758117"/>
                <a:pt x="311381" y="759437"/>
                <a:pt x="301128" y="762000"/>
              </a:cubicBezTo>
              <a:cubicBezTo>
                <a:pt x="275949" y="768295"/>
                <a:pt x="287611" y="764834"/>
                <a:pt x="266036" y="772026"/>
              </a:cubicBezTo>
              <a:cubicBezTo>
                <a:pt x="245391" y="792671"/>
                <a:pt x="263810" y="778356"/>
                <a:pt x="215904" y="787066"/>
              </a:cubicBezTo>
              <a:cubicBezTo>
                <a:pt x="210705" y="788011"/>
                <a:pt x="206046" y="791043"/>
                <a:pt x="200864" y="792079"/>
              </a:cubicBezTo>
              <a:cubicBezTo>
                <a:pt x="189277" y="794396"/>
                <a:pt x="177469" y="795421"/>
                <a:pt x="165772" y="797092"/>
              </a:cubicBezTo>
              <a:cubicBezTo>
                <a:pt x="160759" y="798763"/>
                <a:pt x="155264" y="799386"/>
                <a:pt x="150733" y="802105"/>
              </a:cubicBezTo>
              <a:cubicBezTo>
                <a:pt x="146680" y="804537"/>
                <a:pt x="145133" y="810472"/>
                <a:pt x="140707" y="812132"/>
              </a:cubicBezTo>
              <a:cubicBezTo>
                <a:pt x="131190" y="815701"/>
                <a:pt x="120489" y="814680"/>
                <a:pt x="110628" y="817145"/>
              </a:cubicBezTo>
              <a:cubicBezTo>
                <a:pt x="100375" y="819708"/>
                <a:pt x="90575" y="823829"/>
                <a:pt x="80549" y="827171"/>
              </a:cubicBezTo>
              <a:lnTo>
                <a:pt x="65509" y="832184"/>
              </a:lnTo>
              <a:lnTo>
                <a:pt x="50470" y="837197"/>
              </a:lnTo>
              <a:cubicBezTo>
                <a:pt x="45457" y="840539"/>
                <a:pt x="39194" y="842519"/>
                <a:pt x="35430" y="847224"/>
              </a:cubicBezTo>
              <a:cubicBezTo>
                <a:pt x="32129" y="851350"/>
                <a:pt x="32780" y="857537"/>
                <a:pt x="30417" y="862263"/>
              </a:cubicBezTo>
              <a:cubicBezTo>
                <a:pt x="27723" y="867652"/>
                <a:pt x="23733" y="872290"/>
                <a:pt x="20391" y="877303"/>
              </a:cubicBezTo>
              <a:cubicBezTo>
                <a:pt x="18720" y="899027"/>
                <a:pt x="17924" y="920835"/>
                <a:pt x="15378" y="942474"/>
              </a:cubicBezTo>
              <a:cubicBezTo>
                <a:pt x="9882" y="989183"/>
                <a:pt x="13329" y="938593"/>
                <a:pt x="338" y="977566"/>
              </a:cubicBezTo>
              <a:cubicBezTo>
                <a:pt x="-1247" y="982322"/>
                <a:pt x="2844" y="1005138"/>
                <a:pt x="10364" y="1017671"/>
              </a:cubicBezTo>
              <a:close/>
            </a:path>
          </a:pathLst>
        </a:custGeom>
        <a:solidFill>
          <a:srgbClr val="5BEB47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279094</xdr:colOff>
      <xdr:row>19</xdr:row>
      <xdr:rowOff>140462</xdr:rowOff>
    </xdr:from>
    <xdr:to>
      <xdr:col>40</xdr:col>
      <xdr:colOff>270714</xdr:colOff>
      <xdr:row>27</xdr:row>
      <xdr:rowOff>110631</xdr:rowOff>
    </xdr:to>
    <xdr:sp macro="" textlink="">
      <xdr:nvSpPr>
        <xdr:cNvPr id="4" name="Pakistan"/>
        <xdr:cNvSpPr/>
      </xdr:nvSpPr>
      <xdr:spPr>
        <a:xfrm>
          <a:off x="22986694" y="3759962"/>
          <a:ext cx="1210820" cy="1494169"/>
        </a:xfrm>
        <a:custGeom>
          <a:avLst/>
          <a:gdLst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2684 w 1203158"/>
            <a:gd name="connsiteY54" fmla="*/ 1208705 h 1494455"/>
            <a:gd name="connsiteX55" fmla="*/ 1047750 w 1203158"/>
            <a:gd name="connsiteY55" fmla="*/ 1228758 h 1494455"/>
            <a:gd name="connsiteX56" fmla="*/ 1062790 w 1203158"/>
            <a:gd name="connsiteY56" fmla="*/ 1238784 h 1494455"/>
            <a:gd name="connsiteX57" fmla="*/ 1072816 w 1203158"/>
            <a:gd name="connsiteY57" fmla="*/ 1253823 h 1494455"/>
            <a:gd name="connsiteX58" fmla="*/ 1092869 w 1203158"/>
            <a:gd name="connsiteY58" fmla="*/ 1273876 h 1494455"/>
            <a:gd name="connsiteX59" fmla="*/ 1102895 w 1203158"/>
            <a:gd name="connsiteY59" fmla="*/ 1288916 h 1494455"/>
            <a:gd name="connsiteX60" fmla="*/ 1132974 w 1203158"/>
            <a:gd name="connsiteY60" fmla="*/ 1303955 h 1494455"/>
            <a:gd name="connsiteX61" fmla="*/ 1143000 w 1203158"/>
            <a:gd name="connsiteY61" fmla="*/ 1318994 h 1494455"/>
            <a:gd name="connsiteX62" fmla="*/ 1173079 w 1203158"/>
            <a:gd name="connsiteY62" fmla="*/ 1339047 h 1494455"/>
            <a:gd name="connsiteX63" fmla="*/ 1178092 w 1203158"/>
            <a:gd name="connsiteY63" fmla="*/ 1354087 h 1494455"/>
            <a:gd name="connsiteX64" fmla="*/ 1188119 w 1203158"/>
            <a:gd name="connsiteY64" fmla="*/ 1364113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9852 w 1203158"/>
            <a:gd name="connsiteY54" fmla="*/ 1189655 h 1494455"/>
            <a:gd name="connsiteX55" fmla="*/ 1047750 w 1203158"/>
            <a:gd name="connsiteY55" fmla="*/ 1228758 h 1494455"/>
            <a:gd name="connsiteX56" fmla="*/ 1062790 w 1203158"/>
            <a:gd name="connsiteY56" fmla="*/ 1238784 h 1494455"/>
            <a:gd name="connsiteX57" fmla="*/ 1072816 w 1203158"/>
            <a:gd name="connsiteY57" fmla="*/ 1253823 h 1494455"/>
            <a:gd name="connsiteX58" fmla="*/ 1092869 w 1203158"/>
            <a:gd name="connsiteY58" fmla="*/ 1273876 h 1494455"/>
            <a:gd name="connsiteX59" fmla="*/ 1102895 w 1203158"/>
            <a:gd name="connsiteY59" fmla="*/ 1288916 h 1494455"/>
            <a:gd name="connsiteX60" fmla="*/ 1132974 w 1203158"/>
            <a:gd name="connsiteY60" fmla="*/ 1303955 h 1494455"/>
            <a:gd name="connsiteX61" fmla="*/ 1143000 w 1203158"/>
            <a:gd name="connsiteY61" fmla="*/ 1318994 h 1494455"/>
            <a:gd name="connsiteX62" fmla="*/ 1173079 w 1203158"/>
            <a:gd name="connsiteY62" fmla="*/ 1339047 h 1494455"/>
            <a:gd name="connsiteX63" fmla="*/ 1178092 w 1203158"/>
            <a:gd name="connsiteY63" fmla="*/ 1354087 h 1494455"/>
            <a:gd name="connsiteX64" fmla="*/ 1188119 w 1203158"/>
            <a:gd name="connsiteY64" fmla="*/ 1364113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9852 w 1203158"/>
            <a:gd name="connsiteY54" fmla="*/ 1189655 h 1494455"/>
            <a:gd name="connsiteX55" fmla="*/ 1047750 w 1203158"/>
            <a:gd name="connsiteY55" fmla="*/ 1228758 h 1494455"/>
            <a:gd name="connsiteX56" fmla="*/ 1074736 w 1203158"/>
            <a:gd name="connsiteY56" fmla="*/ 1234022 h 1494455"/>
            <a:gd name="connsiteX57" fmla="*/ 1072816 w 1203158"/>
            <a:gd name="connsiteY57" fmla="*/ 1253823 h 1494455"/>
            <a:gd name="connsiteX58" fmla="*/ 1092869 w 1203158"/>
            <a:gd name="connsiteY58" fmla="*/ 1273876 h 1494455"/>
            <a:gd name="connsiteX59" fmla="*/ 1102895 w 1203158"/>
            <a:gd name="connsiteY59" fmla="*/ 1288916 h 1494455"/>
            <a:gd name="connsiteX60" fmla="*/ 1132974 w 1203158"/>
            <a:gd name="connsiteY60" fmla="*/ 1303955 h 1494455"/>
            <a:gd name="connsiteX61" fmla="*/ 1143000 w 1203158"/>
            <a:gd name="connsiteY61" fmla="*/ 1318994 h 1494455"/>
            <a:gd name="connsiteX62" fmla="*/ 1173079 w 1203158"/>
            <a:gd name="connsiteY62" fmla="*/ 1339047 h 1494455"/>
            <a:gd name="connsiteX63" fmla="*/ 1178092 w 1203158"/>
            <a:gd name="connsiteY63" fmla="*/ 1354087 h 1494455"/>
            <a:gd name="connsiteX64" fmla="*/ 1188119 w 1203158"/>
            <a:gd name="connsiteY64" fmla="*/ 1364113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9852 w 1203158"/>
            <a:gd name="connsiteY54" fmla="*/ 1189655 h 1494455"/>
            <a:gd name="connsiteX55" fmla="*/ 1047750 w 1203158"/>
            <a:gd name="connsiteY55" fmla="*/ 1228758 h 1494455"/>
            <a:gd name="connsiteX56" fmla="*/ 1074736 w 1203158"/>
            <a:gd name="connsiteY56" fmla="*/ 1234022 h 1494455"/>
            <a:gd name="connsiteX57" fmla="*/ 1079984 w 1203158"/>
            <a:gd name="connsiteY57" fmla="*/ 1244298 h 1494455"/>
            <a:gd name="connsiteX58" fmla="*/ 1092869 w 1203158"/>
            <a:gd name="connsiteY58" fmla="*/ 1273876 h 1494455"/>
            <a:gd name="connsiteX59" fmla="*/ 1102895 w 1203158"/>
            <a:gd name="connsiteY59" fmla="*/ 1288916 h 1494455"/>
            <a:gd name="connsiteX60" fmla="*/ 1132974 w 1203158"/>
            <a:gd name="connsiteY60" fmla="*/ 1303955 h 1494455"/>
            <a:gd name="connsiteX61" fmla="*/ 1143000 w 1203158"/>
            <a:gd name="connsiteY61" fmla="*/ 1318994 h 1494455"/>
            <a:gd name="connsiteX62" fmla="*/ 1173079 w 1203158"/>
            <a:gd name="connsiteY62" fmla="*/ 1339047 h 1494455"/>
            <a:gd name="connsiteX63" fmla="*/ 1178092 w 1203158"/>
            <a:gd name="connsiteY63" fmla="*/ 1354087 h 1494455"/>
            <a:gd name="connsiteX64" fmla="*/ 1188119 w 1203158"/>
            <a:gd name="connsiteY64" fmla="*/ 1364113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9852 w 1203158"/>
            <a:gd name="connsiteY54" fmla="*/ 1189655 h 1494455"/>
            <a:gd name="connsiteX55" fmla="*/ 1047750 w 1203158"/>
            <a:gd name="connsiteY55" fmla="*/ 1228758 h 1494455"/>
            <a:gd name="connsiteX56" fmla="*/ 1074736 w 1203158"/>
            <a:gd name="connsiteY56" fmla="*/ 1234022 h 1494455"/>
            <a:gd name="connsiteX57" fmla="*/ 1079984 w 1203158"/>
            <a:gd name="connsiteY57" fmla="*/ 1244298 h 1494455"/>
            <a:gd name="connsiteX58" fmla="*/ 1100036 w 1203158"/>
            <a:gd name="connsiteY58" fmla="*/ 1269114 h 1494455"/>
            <a:gd name="connsiteX59" fmla="*/ 1102895 w 1203158"/>
            <a:gd name="connsiteY59" fmla="*/ 1288916 h 1494455"/>
            <a:gd name="connsiteX60" fmla="*/ 1132974 w 1203158"/>
            <a:gd name="connsiteY60" fmla="*/ 1303955 h 1494455"/>
            <a:gd name="connsiteX61" fmla="*/ 1143000 w 1203158"/>
            <a:gd name="connsiteY61" fmla="*/ 1318994 h 1494455"/>
            <a:gd name="connsiteX62" fmla="*/ 1173079 w 1203158"/>
            <a:gd name="connsiteY62" fmla="*/ 1339047 h 1494455"/>
            <a:gd name="connsiteX63" fmla="*/ 1178092 w 1203158"/>
            <a:gd name="connsiteY63" fmla="*/ 1354087 h 1494455"/>
            <a:gd name="connsiteX64" fmla="*/ 1188119 w 1203158"/>
            <a:gd name="connsiteY64" fmla="*/ 1364113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9852 w 1203158"/>
            <a:gd name="connsiteY54" fmla="*/ 1189655 h 1494455"/>
            <a:gd name="connsiteX55" fmla="*/ 1047750 w 1203158"/>
            <a:gd name="connsiteY55" fmla="*/ 1228758 h 1494455"/>
            <a:gd name="connsiteX56" fmla="*/ 1074736 w 1203158"/>
            <a:gd name="connsiteY56" fmla="*/ 1234022 h 1494455"/>
            <a:gd name="connsiteX57" fmla="*/ 1079984 w 1203158"/>
            <a:gd name="connsiteY57" fmla="*/ 1244298 h 1494455"/>
            <a:gd name="connsiteX58" fmla="*/ 1100036 w 1203158"/>
            <a:gd name="connsiteY58" fmla="*/ 1269114 h 1494455"/>
            <a:gd name="connsiteX59" fmla="*/ 1114842 w 1203158"/>
            <a:gd name="connsiteY59" fmla="*/ 1281772 h 1494455"/>
            <a:gd name="connsiteX60" fmla="*/ 1132974 w 1203158"/>
            <a:gd name="connsiteY60" fmla="*/ 1303955 h 1494455"/>
            <a:gd name="connsiteX61" fmla="*/ 1143000 w 1203158"/>
            <a:gd name="connsiteY61" fmla="*/ 1318994 h 1494455"/>
            <a:gd name="connsiteX62" fmla="*/ 1173079 w 1203158"/>
            <a:gd name="connsiteY62" fmla="*/ 1339047 h 1494455"/>
            <a:gd name="connsiteX63" fmla="*/ 1178092 w 1203158"/>
            <a:gd name="connsiteY63" fmla="*/ 1354087 h 1494455"/>
            <a:gd name="connsiteX64" fmla="*/ 1188119 w 1203158"/>
            <a:gd name="connsiteY64" fmla="*/ 1364113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9852 w 1203158"/>
            <a:gd name="connsiteY54" fmla="*/ 1189655 h 1494455"/>
            <a:gd name="connsiteX55" fmla="*/ 1047750 w 1203158"/>
            <a:gd name="connsiteY55" fmla="*/ 1228758 h 1494455"/>
            <a:gd name="connsiteX56" fmla="*/ 1074736 w 1203158"/>
            <a:gd name="connsiteY56" fmla="*/ 1234022 h 1494455"/>
            <a:gd name="connsiteX57" fmla="*/ 1079984 w 1203158"/>
            <a:gd name="connsiteY57" fmla="*/ 1244298 h 1494455"/>
            <a:gd name="connsiteX58" fmla="*/ 1100036 w 1203158"/>
            <a:gd name="connsiteY58" fmla="*/ 1269114 h 1494455"/>
            <a:gd name="connsiteX59" fmla="*/ 1114842 w 1203158"/>
            <a:gd name="connsiteY59" fmla="*/ 1281772 h 1494455"/>
            <a:gd name="connsiteX60" fmla="*/ 1152088 w 1203158"/>
            <a:gd name="connsiteY60" fmla="*/ 1301573 h 1494455"/>
            <a:gd name="connsiteX61" fmla="*/ 1143000 w 1203158"/>
            <a:gd name="connsiteY61" fmla="*/ 1318994 h 1494455"/>
            <a:gd name="connsiteX62" fmla="*/ 1173079 w 1203158"/>
            <a:gd name="connsiteY62" fmla="*/ 1339047 h 1494455"/>
            <a:gd name="connsiteX63" fmla="*/ 1178092 w 1203158"/>
            <a:gd name="connsiteY63" fmla="*/ 1354087 h 1494455"/>
            <a:gd name="connsiteX64" fmla="*/ 1188119 w 1203158"/>
            <a:gd name="connsiteY64" fmla="*/ 1364113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9852 w 1203158"/>
            <a:gd name="connsiteY54" fmla="*/ 1189655 h 1494455"/>
            <a:gd name="connsiteX55" fmla="*/ 1047750 w 1203158"/>
            <a:gd name="connsiteY55" fmla="*/ 1228758 h 1494455"/>
            <a:gd name="connsiteX56" fmla="*/ 1074736 w 1203158"/>
            <a:gd name="connsiteY56" fmla="*/ 1234022 h 1494455"/>
            <a:gd name="connsiteX57" fmla="*/ 1079984 w 1203158"/>
            <a:gd name="connsiteY57" fmla="*/ 1244298 h 1494455"/>
            <a:gd name="connsiteX58" fmla="*/ 1100036 w 1203158"/>
            <a:gd name="connsiteY58" fmla="*/ 1269114 h 1494455"/>
            <a:gd name="connsiteX59" fmla="*/ 1114842 w 1203158"/>
            <a:gd name="connsiteY59" fmla="*/ 1281772 h 1494455"/>
            <a:gd name="connsiteX60" fmla="*/ 1152088 w 1203158"/>
            <a:gd name="connsiteY60" fmla="*/ 1301573 h 1494455"/>
            <a:gd name="connsiteX61" fmla="*/ 1166892 w 1203158"/>
            <a:gd name="connsiteY61" fmla="*/ 1316612 h 1494455"/>
            <a:gd name="connsiteX62" fmla="*/ 1173079 w 1203158"/>
            <a:gd name="connsiteY62" fmla="*/ 1339047 h 1494455"/>
            <a:gd name="connsiteX63" fmla="*/ 1178092 w 1203158"/>
            <a:gd name="connsiteY63" fmla="*/ 1354087 h 1494455"/>
            <a:gd name="connsiteX64" fmla="*/ 1188119 w 1203158"/>
            <a:gd name="connsiteY64" fmla="*/ 1364113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9852 w 1203158"/>
            <a:gd name="connsiteY54" fmla="*/ 1189655 h 1494455"/>
            <a:gd name="connsiteX55" fmla="*/ 1047750 w 1203158"/>
            <a:gd name="connsiteY55" fmla="*/ 1228758 h 1494455"/>
            <a:gd name="connsiteX56" fmla="*/ 1074736 w 1203158"/>
            <a:gd name="connsiteY56" fmla="*/ 1234022 h 1494455"/>
            <a:gd name="connsiteX57" fmla="*/ 1079984 w 1203158"/>
            <a:gd name="connsiteY57" fmla="*/ 1244298 h 1494455"/>
            <a:gd name="connsiteX58" fmla="*/ 1100036 w 1203158"/>
            <a:gd name="connsiteY58" fmla="*/ 1269114 h 1494455"/>
            <a:gd name="connsiteX59" fmla="*/ 1114842 w 1203158"/>
            <a:gd name="connsiteY59" fmla="*/ 1281772 h 1494455"/>
            <a:gd name="connsiteX60" fmla="*/ 1152088 w 1203158"/>
            <a:gd name="connsiteY60" fmla="*/ 1301573 h 1494455"/>
            <a:gd name="connsiteX61" fmla="*/ 1166892 w 1203158"/>
            <a:gd name="connsiteY61" fmla="*/ 1316612 h 1494455"/>
            <a:gd name="connsiteX62" fmla="*/ 1187414 w 1203158"/>
            <a:gd name="connsiteY62" fmla="*/ 1341428 h 1494455"/>
            <a:gd name="connsiteX63" fmla="*/ 1178092 w 1203158"/>
            <a:gd name="connsiteY63" fmla="*/ 1354087 h 1494455"/>
            <a:gd name="connsiteX64" fmla="*/ 1188119 w 1203158"/>
            <a:gd name="connsiteY64" fmla="*/ 1364113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03158"/>
            <a:gd name="connsiteY0" fmla="*/ 534 h 1494455"/>
            <a:gd name="connsiteX1" fmla="*/ 907382 w 1203158"/>
            <a:gd name="connsiteY1" fmla="*/ 25600 h 1494455"/>
            <a:gd name="connsiteX2" fmla="*/ 922421 w 1203158"/>
            <a:gd name="connsiteY2" fmla="*/ 35626 h 1494455"/>
            <a:gd name="connsiteX3" fmla="*/ 942474 w 1203158"/>
            <a:gd name="connsiteY3" fmla="*/ 55679 h 1494455"/>
            <a:gd name="connsiteX4" fmla="*/ 957513 w 1203158"/>
            <a:gd name="connsiteY4" fmla="*/ 60692 h 1494455"/>
            <a:gd name="connsiteX5" fmla="*/ 967540 w 1203158"/>
            <a:gd name="connsiteY5" fmla="*/ 70718 h 1494455"/>
            <a:gd name="connsiteX6" fmla="*/ 992606 w 1203158"/>
            <a:gd name="connsiteY6" fmla="*/ 90771 h 1494455"/>
            <a:gd name="connsiteX7" fmla="*/ 1012658 w 1203158"/>
            <a:gd name="connsiteY7" fmla="*/ 115837 h 1494455"/>
            <a:gd name="connsiteX8" fmla="*/ 1027698 w 1203158"/>
            <a:gd name="connsiteY8" fmla="*/ 125863 h 1494455"/>
            <a:gd name="connsiteX9" fmla="*/ 1097882 w 1203158"/>
            <a:gd name="connsiteY9" fmla="*/ 130876 h 1494455"/>
            <a:gd name="connsiteX10" fmla="*/ 1112921 w 1203158"/>
            <a:gd name="connsiteY10" fmla="*/ 135889 h 1494455"/>
            <a:gd name="connsiteX11" fmla="*/ 1168066 w 1203158"/>
            <a:gd name="connsiteY11" fmla="*/ 145916 h 1494455"/>
            <a:gd name="connsiteX12" fmla="*/ 1183106 w 1203158"/>
            <a:gd name="connsiteY12" fmla="*/ 150929 h 1494455"/>
            <a:gd name="connsiteX13" fmla="*/ 1178092 w 1203158"/>
            <a:gd name="connsiteY13" fmla="*/ 170981 h 1494455"/>
            <a:gd name="connsiteX14" fmla="*/ 1173079 w 1203158"/>
            <a:gd name="connsiteY14" fmla="*/ 201060 h 1494455"/>
            <a:gd name="connsiteX15" fmla="*/ 1163053 w 1203158"/>
            <a:gd name="connsiteY15" fmla="*/ 231139 h 1494455"/>
            <a:gd name="connsiteX16" fmla="*/ 1158040 w 1203158"/>
            <a:gd name="connsiteY16" fmla="*/ 251192 h 1494455"/>
            <a:gd name="connsiteX17" fmla="*/ 1127961 w 1203158"/>
            <a:gd name="connsiteY17" fmla="*/ 261218 h 1494455"/>
            <a:gd name="connsiteX18" fmla="*/ 1002632 w 1203158"/>
            <a:gd name="connsiteY18" fmla="*/ 251192 h 1494455"/>
            <a:gd name="connsiteX19" fmla="*/ 957513 w 1203158"/>
            <a:gd name="connsiteY19" fmla="*/ 256205 h 1494455"/>
            <a:gd name="connsiteX20" fmla="*/ 927434 w 1203158"/>
            <a:gd name="connsiteY20" fmla="*/ 266231 h 1494455"/>
            <a:gd name="connsiteX21" fmla="*/ 922421 w 1203158"/>
            <a:gd name="connsiteY21" fmla="*/ 281271 h 1494455"/>
            <a:gd name="connsiteX22" fmla="*/ 947487 w 1203158"/>
            <a:gd name="connsiteY22" fmla="*/ 301323 h 1494455"/>
            <a:gd name="connsiteX23" fmla="*/ 967540 w 1203158"/>
            <a:gd name="connsiteY23" fmla="*/ 326389 h 1494455"/>
            <a:gd name="connsiteX24" fmla="*/ 977566 w 1203158"/>
            <a:gd name="connsiteY24" fmla="*/ 341429 h 1494455"/>
            <a:gd name="connsiteX25" fmla="*/ 992606 w 1203158"/>
            <a:gd name="connsiteY25" fmla="*/ 346442 h 1494455"/>
            <a:gd name="connsiteX26" fmla="*/ 1002632 w 1203158"/>
            <a:gd name="connsiteY26" fmla="*/ 381534 h 1494455"/>
            <a:gd name="connsiteX27" fmla="*/ 1007645 w 1203158"/>
            <a:gd name="connsiteY27" fmla="*/ 396573 h 1494455"/>
            <a:gd name="connsiteX28" fmla="*/ 1027698 w 1203158"/>
            <a:gd name="connsiteY28" fmla="*/ 416626 h 1494455"/>
            <a:gd name="connsiteX29" fmla="*/ 1032711 w 1203158"/>
            <a:gd name="connsiteY29" fmla="*/ 431666 h 1494455"/>
            <a:gd name="connsiteX30" fmla="*/ 1047750 w 1203158"/>
            <a:gd name="connsiteY30" fmla="*/ 441692 h 1494455"/>
            <a:gd name="connsiteX31" fmla="*/ 1072816 w 1203158"/>
            <a:gd name="connsiteY31" fmla="*/ 461744 h 1494455"/>
            <a:gd name="connsiteX32" fmla="*/ 1117934 w 1203158"/>
            <a:gd name="connsiteY32" fmla="*/ 481797 h 1494455"/>
            <a:gd name="connsiteX33" fmla="*/ 1137987 w 1203158"/>
            <a:gd name="connsiteY33" fmla="*/ 501850 h 1494455"/>
            <a:gd name="connsiteX34" fmla="*/ 1168066 w 1203158"/>
            <a:gd name="connsiteY34" fmla="*/ 521902 h 1494455"/>
            <a:gd name="connsiteX35" fmla="*/ 1173079 w 1203158"/>
            <a:gd name="connsiteY35" fmla="*/ 582060 h 1494455"/>
            <a:gd name="connsiteX36" fmla="*/ 1163053 w 1203158"/>
            <a:gd name="connsiteY36" fmla="*/ 592087 h 1494455"/>
            <a:gd name="connsiteX37" fmla="*/ 1148013 w 1203158"/>
            <a:gd name="connsiteY37" fmla="*/ 597100 h 1494455"/>
            <a:gd name="connsiteX38" fmla="*/ 1163053 w 1203158"/>
            <a:gd name="connsiteY38" fmla="*/ 657258 h 1494455"/>
            <a:gd name="connsiteX39" fmla="*/ 1168066 w 1203158"/>
            <a:gd name="connsiteY39" fmla="*/ 672297 h 1494455"/>
            <a:gd name="connsiteX40" fmla="*/ 1158040 w 1203158"/>
            <a:gd name="connsiteY40" fmla="*/ 802639 h 1494455"/>
            <a:gd name="connsiteX41" fmla="*/ 1148013 w 1203158"/>
            <a:gd name="connsiteY41" fmla="*/ 922955 h 1494455"/>
            <a:gd name="connsiteX42" fmla="*/ 1143000 w 1203158"/>
            <a:gd name="connsiteY42" fmla="*/ 988126 h 1494455"/>
            <a:gd name="connsiteX43" fmla="*/ 1122948 w 1203158"/>
            <a:gd name="connsiteY43" fmla="*/ 1018205 h 1494455"/>
            <a:gd name="connsiteX44" fmla="*/ 1007645 w 1203158"/>
            <a:gd name="connsiteY44" fmla="*/ 1033244 h 1494455"/>
            <a:gd name="connsiteX45" fmla="*/ 992606 w 1203158"/>
            <a:gd name="connsiteY45" fmla="*/ 1038258 h 1494455"/>
            <a:gd name="connsiteX46" fmla="*/ 972553 w 1203158"/>
            <a:gd name="connsiteY46" fmla="*/ 1043271 h 1494455"/>
            <a:gd name="connsiteX47" fmla="*/ 967540 w 1203158"/>
            <a:gd name="connsiteY47" fmla="*/ 1058310 h 1494455"/>
            <a:gd name="connsiteX48" fmla="*/ 962527 w 1203158"/>
            <a:gd name="connsiteY48" fmla="*/ 1078363 h 1494455"/>
            <a:gd name="connsiteX49" fmla="*/ 952500 w 1203158"/>
            <a:gd name="connsiteY49" fmla="*/ 1108442 h 1494455"/>
            <a:gd name="connsiteX50" fmla="*/ 947487 w 1203158"/>
            <a:gd name="connsiteY50" fmla="*/ 1123481 h 1494455"/>
            <a:gd name="connsiteX51" fmla="*/ 957513 w 1203158"/>
            <a:gd name="connsiteY51" fmla="*/ 1158573 h 1494455"/>
            <a:gd name="connsiteX52" fmla="*/ 972553 w 1203158"/>
            <a:gd name="connsiteY52" fmla="*/ 1163587 h 1494455"/>
            <a:gd name="connsiteX53" fmla="*/ 997619 w 1203158"/>
            <a:gd name="connsiteY53" fmla="*/ 1183639 h 1494455"/>
            <a:gd name="connsiteX54" fmla="*/ 1029852 w 1203158"/>
            <a:gd name="connsiteY54" fmla="*/ 1189655 h 1494455"/>
            <a:gd name="connsiteX55" fmla="*/ 1047750 w 1203158"/>
            <a:gd name="connsiteY55" fmla="*/ 1228758 h 1494455"/>
            <a:gd name="connsiteX56" fmla="*/ 1074736 w 1203158"/>
            <a:gd name="connsiteY56" fmla="*/ 1234022 h 1494455"/>
            <a:gd name="connsiteX57" fmla="*/ 1079984 w 1203158"/>
            <a:gd name="connsiteY57" fmla="*/ 1244298 h 1494455"/>
            <a:gd name="connsiteX58" fmla="*/ 1100036 w 1203158"/>
            <a:gd name="connsiteY58" fmla="*/ 1269114 h 1494455"/>
            <a:gd name="connsiteX59" fmla="*/ 1114842 w 1203158"/>
            <a:gd name="connsiteY59" fmla="*/ 1281772 h 1494455"/>
            <a:gd name="connsiteX60" fmla="*/ 1152088 w 1203158"/>
            <a:gd name="connsiteY60" fmla="*/ 1301573 h 1494455"/>
            <a:gd name="connsiteX61" fmla="*/ 1166892 w 1203158"/>
            <a:gd name="connsiteY61" fmla="*/ 1316612 h 1494455"/>
            <a:gd name="connsiteX62" fmla="*/ 1187414 w 1203158"/>
            <a:gd name="connsiteY62" fmla="*/ 1341428 h 1494455"/>
            <a:gd name="connsiteX63" fmla="*/ 1178092 w 1203158"/>
            <a:gd name="connsiteY63" fmla="*/ 1354087 h 1494455"/>
            <a:gd name="connsiteX64" fmla="*/ 1197676 w 1203158"/>
            <a:gd name="connsiteY64" fmla="*/ 1361731 h 1494455"/>
            <a:gd name="connsiteX65" fmla="*/ 1198145 w 1203158"/>
            <a:gd name="connsiteY65" fmla="*/ 1394192 h 1494455"/>
            <a:gd name="connsiteX66" fmla="*/ 1203158 w 1203158"/>
            <a:gd name="connsiteY66" fmla="*/ 1409231 h 1494455"/>
            <a:gd name="connsiteX67" fmla="*/ 1017671 w 1203158"/>
            <a:gd name="connsiteY67" fmla="*/ 1424271 h 1494455"/>
            <a:gd name="connsiteX68" fmla="*/ 997619 w 1203158"/>
            <a:gd name="connsiteY68" fmla="*/ 1429284 h 1494455"/>
            <a:gd name="connsiteX69" fmla="*/ 967540 w 1203158"/>
            <a:gd name="connsiteY69" fmla="*/ 1464376 h 1494455"/>
            <a:gd name="connsiteX70" fmla="*/ 962527 w 1203158"/>
            <a:gd name="connsiteY70" fmla="*/ 1479416 h 1494455"/>
            <a:gd name="connsiteX71" fmla="*/ 937461 w 1203158"/>
            <a:gd name="connsiteY71" fmla="*/ 1494455 h 1494455"/>
            <a:gd name="connsiteX72" fmla="*/ 917408 w 1203158"/>
            <a:gd name="connsiteY72" fmla="*/ 1489442 h 1494455"/>
            <a:gd name="connsiteX73" fmla="*/ 902369 w 1203158"/>
            <a:gd name="connsiteY73" fmla="*/ 1479416 h 1494455"/>
            <a:gd name="connsiteX74" fmla="*/ 887329 w 1203158"/>
            <a:gd name="connsiteY74" fmla="*/ 1474402 h 1494455"/>
            <a:gd name="connsiteX75" fmla="*/ 877303 w 1203158"/>
            <a:gd name="connsiteY75" fmla="*/ 1459363 h 1494455"/>
            <a:gd name="connsiteX76" fmla="*/ 862263 w 1203158"/>
            <a:gd name="connsiteY76" fmla="*/ 1454350 h 1494455"/>
            <a:gd name="connsiteX77" fmla="*/ 857250 w 1203158"/>
            <a:gd name="connsiteY77" fmla="*/ 1439310 h 1494455"/>
            <a:gd name="connsiteX78" fmla="*/ 842211 w 1203158"/>
            <a:gd name="connsiteY78" fmla="*/ 1429284 h 1494455"/>
            <a:gd name="connsiteX79" fmla="*/ 837198 w 1203158"/>
            <a:gd name="connsiteY79" fmla="*/ 1414244 h 1494455"/>
            <a:gd name="connsiteX80" fmla="*/ 797092 w 1203158"/>
            <a:gd name="connsiteY80" fmla="*/ 1384166 h 1494455"/>
            <a:gd name="connsiteX81" fmla="*/ 772027 w 1203158"/>
            <a:gd name="connsiteY81" fmla="*/ 1364113 h 1494455"/>
            <a:gd name="connsiteX82" fmla="*/ 736934 w 1203158"/>
            <a:gd name="connsiteY82" fmla="*/ 1334034 h 1494455"/>
            <a:gd name="connsiteX83" fmla="*/ 721895 w 1203158"/>
            <a:gd name="connsiteY83" fmla="*/ 1329021 h 1494455"/>
            <a:gd name="connsiteX84" fmla="*/ 641684 w 1203158"/>
            <a:gd name="connsiteY84" fmla="*/ 1324008 h 1494455"/>
            <a:gd name="connsiteX85" fmla="*/ 626645 w 1203158"/>
            <a:gd name="connsiteY85" fmla="*/ 1334034 h 1494455"/>
            <a:gd name="connsiteX86" fmla="*/ 581527 w 1203158"/>
            <a:gd name="connsiteY86" fmla="*/ 1339047 h 1494455"/>
            <a:gd name="connsiteX87" fmla="*/ 561474 w 1203158"/>
            <a:gd name="connsiteY87" fmla="*/ 1344060 h 1494455"/>
            <a:gd name="connsiteX88" fmla="*/ 526382 w 1203158"/>
            <a:gd name="connsiteY88" fmla="*/ 1354087 h 1494455"/>
            <a:gd name="connsiteX89" fmla="*/ 491290 w 1203158"/>
            <a:gd name="connsiteY89" fmla="*/ 1359100 h 1494455"/>
            <a:gd name="connsiteX90" fmla="*/ 255671 w 1203158"/>
            <a:gd name="connsiteY90" fmla="*/ 1354087 h 1494455"/>
            <a:gd name="connsiteX91" fmla="*/ 250658 w 1203158"/>
            <a:gd name="connsiteY91" fmla="*/ 1339047 h 1494455"/>
            <a:gd name="connsiteX92" fmla="*/ 255671 w 1203158"/>
            <a:gd name="connsiteY92" fmla="*/ 1263850 h 1494455"/>
            <a:gd name="connsiteX93" fmla="*/ 260684 w 1203158"/>
            <a:gd name="connsiteY93" fmla="*/ 1233771 h 1494455"/>
            <a:gd name="connsiteX94" fmla="*/ 305803 w 1203158"/>
            <a:gd name="connsiteY94" fmla="*/ 1218731 h 1494455"/>
            <a:gd name="connsiteX95" fmla="*/ 320842 w 1203158"/>
            <a:gd name="connsiteY95" fmla="*/ 1213718 h 1494455"/>
            <a:gd name="connsiteX96" fmla="*/ 330869 w 1203158"/>
            <a:gd name="connsiteY96" fmla="*/ 1203692 h 1494455"/>
            <a:gd name="connsiteX97" fmla="*/ 350921 w 1203158"/>
            <a:gd name="connsiteY97" fmla="*/ 1173613 h 1494455"/>
            <a:gd name="connsiteX98" fmla="*/ 355934 w 1203158"/>
            <a:gd name="connsiteY98" fmla="*/ 1158573 h 1494455"/>
            <a:gd name="connsiteX99" fmla="*/ 340895 w 1203158"/>
            <a:gd name="connsiteY99" fmla="*/ 1148547 h 1494455"/>
            <a:gd name="connsiteX100" fmla="*/ 325856 w 1203158"/>
            <a:gd name="connsiteY100" fmla="*/ 1133508 h 1494455"/>
            <a:gd name="connsiteX101" fmla="*/ 295777 w 1203158"/>
            <a:gd name="connsiteY101" fmla="*/ 1123481 h 1494455"/>
            <a:gd name="connsiteX102" fmla="*/ 285750 w 1203158"/>
            <a:gd name="connsiteY102" fmla="*/ 1113455 h 1494455"/>
            <a:gd name="connsiteX103" fmla="*/ 265698 w 1203158"/>
            <a:gd name="connsiteY103" fmla="*/ 1068337 h 1494455"/>
            <a:gd name="connsiteX104" fmla="*/ 250658 w 1203158"/>
            <a:gd name="connsiteY104" fmla="*/ 1013192 h 1494455"/>
            <a:gd name="connsiteX105" fmla="*/ 235619 w 1203158"/>
            <a:gd name="connsiteY105" fmla="*/ 1008179 h 1494455"/>
            <a:gd name="connsiteX106" fmla="*/ 220579 w 1203158"/>
            <a:gd name="connsiteY106" fmla="*/ 998152 h 1494455"/>
            <a:gd name="connsiteX107" fmla="*/ 190500 w 1203158"/>
            <a:gd name="connsiteY107" fmla="*/ 988126 h 1494455"/>
            <a:gd name="connsiteX108" fmla="*/ 160421 w 1203158"/>
            <a:gd name="connsiteY108" fmla="*/ 973087 h 1494455"/>
            <a:gd name="connsiteX109" fmla="*/ 145382 w 1203158"/>
            <a:gd name="connsiteY109" fmla="*/ 963060 h 1494455"/>
            <a:gd name="connsiteX110" fmla="*/ 110290 w 1203158"/>
            <a:gd name="connsiteY110" fmla="*/ 953034 h 1494455"/>
            <a:gd name="connsiteX111" fmla="*/ 95250 w 1203158"/>
            <a:gd name="connsiteY111" fmla="*/ 948021 h 1494455"/>
            <a:gd name="connsiteX112" fmla="*/ 85224 w 1203158"/>
            <a:gd name="connsiteY112" fmla="*/ 932981 h 1494455"/>
            <a:gd name="connsiteX113" fmla="*/ 70184 w 1203158"/>
            <a:gd name="connsiteY113" fmla="*/ 922955 h 1494455"/>
            <a:gd name="connsiteX114" fmla="*/ 65171 w 1203158"/>
            <a:gd name="connsiteY114" fmla="*/ 907916 h 1494455"/>
            <a:gd name="connsiteX115" fmla="*/ 55145 w 1203158"/>
            <a:gd name="connsiteY115" fmla="*/ 897889 h 1494455"/>
            <a:gd name="connsiteX116" fmla="*/ 30079 w 1203158"/>
            <a:gd name="connsiteY116" fmla="*/ 877837 h 1494455"/>
            <a:gd name="connsiteX117" fmla="*/ 10027 w 1203158"/>
            <a:gd name="connsiteY117" fmla="*/ 862797 h 1494455"/>
            <a:gd name="connsiteX118" fmla="*/ 0 w 1203158"/>
            <a:gd name="connsiteY118" fmla="*/ 852771 h 1494455"/>
            <a:gd name="connsiteX119" fmla="*/ 10027 w 1203158"/>
            <a:gd name="connsiteY119" fmla="*/ 842744 h 1494455"/>
            <a:gd name="connsiteX120" fmla="*/ 45119 w 1203158"/>
            <a:gd name="connsiteY120" fmla="*/ 847758 h 1494455"/>
            <a:gd name="connsiteX121" fmla="*/ 55145 w 1203158"/>
            <a:gd name="connsiteY121" fmla="*/ 862797 h 1494455"/>
            <a:gd name="connsiteX122" fmla="*/ 70184 w 1203158"/>
            <a:gd name="connsiteY122" fmla="*/ 877837 h 1494455"/>
            <a:gd name="connsiteX123" fmla="*/ 120316 w 1203158"/>
            <a:gd name="connsiteY123" fmla="*/ 887863 h 1494455"/>
            <a:gd name="connsiteX124" fmla="*/ 310816 w 1203158"/>
            <a:gd name="connsiteY124" fmla="*/ 877837 h 1494455"/>
            <a:gd name="connsiteX125" fmla="*/ 345908 w 1203158"/>
            <a:gd name="connsiteY125" fmla="*/ 867810 h 1494455"/>
            <a:gd name="connsiteX126" fmla="*/ 381000 w 1203158"/>
            <a:gd name="connsiteY126" fmla="*/ 862797 h 1494455"/>
            <a:gd name="connsiteX127" fmla="*/ 411079 w 1203158"/>
            <a:gd name="connsiteY127" fmla="*/ 852771 h 1494455"/>
            <a:gd name="connsiteX128" fmla="*/ 426119 w 1203158"/>
            <a:gd name="connsiteY128" fmla="*/ 847758 h 1494455"/>
            <a:gd name="connsiteX129" fmla="*/ 451184 w 1203158"/>
            <a:gd name="connsiteY129" fmla="*/ 842744 h 1494455"/>
            <a:gd name="connsiteX130" fmla="*/ 461211 w 1203158"/>
            <a:gd name="connsiteY130" fmla="*/ 832718 h 1494455"/>
            <a:gd name="connsiteX131" fmla="*/ 476250 w 1203158"/>
            <a:gd name="connsiteY131" fmla="*/ 827705 h 1494455"/>
            <a:gd name="connsiteX132" fmla="*/ 486277 w 1203158"/>
            <a:gd name="connsiteY132" fmla="*/ 797626 h 1494455"/>
            <a:gd name="connsiteX133" fmla="*/ 476250 w 1203158"/>
            <a:gd name="connsiteY133" fmla="*/ 782587 h 1494455"/>
            <a:gd name="connsiteX134" fmla="*/ 476250 w 1203158"/>
            <a:gd name="connsiteY134" fmla="*/ 687337 h 1494455"/>
            <a:gd name="connsiteX135" fmla="*/ 486277 w 1203158"/>
            <a:gd name="connsiteY135" fmla="*/ 677310 h 1494455"/>
            <a:gd name="connsiteX136" fmla="*/ 526382 w 1203158"/>
            <a:gd name="connsiteY136" fmla="*/ 662271 h 1494455"/>
            <a:gd name="connsiteX137" fmla="*/ 536408 w 1203158"/>
            <a:gd name="connsiteY137" fmla="*/ 647231 h 1494455"/>
            <a:gd name="connsiteX138" fmla="*/ 541421 w 1203158"/>
            <a:gd name="connsiteY138" fmla="*/ 632192 h 1494455"/>
            <a:gd name="connsiteX139" fmla="*/ 556461 w 1203158"/>
            <a:gd name="connsiteY139" fmla="*/ 627179 h 1494455"/>
            <a:gd name="connsiteX140" fmla="*/ 631658 w 1203158"/>
            <a:gd name="connsiteY140" fmla="*/ 627179 h 1494455"/>
            <a:gd name="connsiteX141" fmla="*/ 636671 w 1203158"/>
            <a:gd name="connsiteY141" fmla="*/ 612139 h 1494455"/>
            <a:gd name="connsiteX142" fmla="*/ 646698 w 1203158"/>
            <a:gd name="connsiteY142" fmla="*/ 602113 h 1494455"/>
            <a:gd name="connsiteX143" fmla="*/ 651711 w 1203158"/>
            <a:gd name="connsiteY143" fmla="*/ 567021 h 1494455"/>
            <a:gd name="connsiteX144" fmla="*/ 641684 w 1203158"/>
            <a:gd name="connsiteY144" fmla="*/ 531929 h 1494455"/>
            <a:gd name="connsiteX145" fmla="*/ 631658 w 1203158"/>
            <a:gd name="connsiteY145" fmla="*/ 516889 h 1494455"/>
            <a:gd name="connsiteX146" fmla="*/ 626645 w 1203158"/>
            <a:gd name="connsiteY146" fmla="*/ 501850 h 1494455"/>
            <a:gd name="connsiteX147" fmla="*/ 641684 w 1203158"/>
            <a:gd name="connsiteY147" fmla="*/ 461744 h 1494455"/>
            <a:gd name="connsiteX148" fmla="*/ 656724 w 1203158"/>
            <a:gd name="connsiteY148" fmla="*/ 456731 h 1494455"/>
            <a:gd name="connsiteX149" fmla="*/ 671763 w 1203158"/>
            <a:gd name="connsiteY149" fmla="*/ 441692 h 1494455"/>
            <a:gd name="connsiteX150" fmla="*/ 651711 w 1203158"/>
            <a:gd name="connsiteY150" fmla="*/ 406600 h 1494455"/>
            <a:gd name="connsiteX151" fmla="*/ 626645 w 1203158"/>
            <a:gd name="connsiteY151" fmla="*/ 386547 h 1494455"/>
            <a:gd name="connsiteX152" fmla="*/ 616619 w 1203158"/>
            <a:gd name="connsiteY152" fmla="*/ 371508 h 1494455"/>
            <a:gd name="connsiteX153" fmla="*/ 631658 w 1203158"/>
            <a:gd name="connsiteY153" fmla="*/ 366494 h 1494455"/>
            <a:gd name="connsiteX154" fmla="*/ 656724 w 1203158"/>
            <a:gd name="connsiteY154" fmla="*/ 361481 h 1494455"/>
            <a:gd name="connsiteX155" fmla="*/ 686803 w 1203158"/>
            <a:gd name="connsiteY155" fmla="*/ 351455 h 1494455"/>
            <a:gd name="connsiteX156" fmla="*/ 681790 w 1203158"/>
            <a:gd name="connsiteY156" fmla="*/ 321376 h 1494455"/>
            <a:gd name="connsiteX157" fmla="*/ 666750 w 1203158"/>
            <a:gd name="connsiteY157" fmla="*/ 311350 h 1494455"/>
            <a:gd name="connsiteX158" fmla="*/ 661737 w 1203158"/>
            <a:gd name="connsiteY158" fmla="*/ 296310 h 1494455"/>
            <a:gd name="connsiteX159" fmla="*/ 666750 w 1203158"/>
            <a:gd name="connsiteY159" fmla="*/ 266231 h 1494455"/>
            <a:gd name="connsiteX160" fmla="*/ 666750 w 1203158"/>
            <a:gd name="connsiteY160" fmla="*/ 216100 h 1494455"/>
            <a:gd name="connsiteX161" fmla="*/ 656724 w 1203158"/>
            <a:gd name="connsiteY161" fmla="*/ 206073 h 1494455"/>
            <a:gd name="connsiteX162" fmla="*/ 646698 w 1203158"/>
            <a:gd name="connsiteY162" fmla="*/ 191034 h 1494455"/>
            <a:gd name="connsiteX163" fmla="*/ 636671 w 1203158"/>
            <a:gd name="connsiteY163" fmla="*/ 181008 h 1494455"/>
            <a:gd name="connsiteX164" fmla="*/ 616619 w 1203158"/>
            <a:gd name="connsiteY164" fmla="*/ 145916 h 1494455"/>
            <a:gd name="connsiteX165" fmla="*/ 606592 w 1203158"/>
            <a:gd name="connsiteY165" fmla="*/ 135889 h 1494455"/>
            <a:gd name="connsiteX166" fmla="*/ 596566 w 1203158"/>
            <a:gd name="connsiteY166" fmla="*/ 120850 h 1494455"/>
            <a:gd name="connsiteX167" fmla="*/ 601579 w 1203158"/>
            <a:gd name="connsiteY167" fmla="*/ 90771 h 1494455"/>
            <a:gd name="connsiteX168" fmla="*/ 616619 w 1203158"/>
            <a:gd name="connsiteY168" fmla="*/ 85758 h 1494455"/>
            <a:gd name="connsiteX169" fmla="*/ 661737 w 1203158"/>
            <a:gd name="connsiteY169" fmla="*/ 80744 h 1494455"/>
            <a:gd name="connsiteX170" fmla="*/ 691816 w 1203158"/>
            <a:gd name="connsiteY170" fmla="*/ 70718 h 1494455"/>
            <a:gd name="connsiteX171" fmla="*/ 706856 w 1203158"/>
            <a:gd name="connsiteY171" fmla="*/ 60692 h 1494455"/>
            <a:gd name="connsiteX172" fmla="*/ 756987 w 1203158"/>
            <a:gd name="connsiteY172" fmla="*/ 45652 h 1494455"/>
            <a:gd name="connsiteX173" fmla="*/ 787066 w 1203158"/>
            <a:gd name="connsiteY173" fmla="*/ 25600 h 1494455"/>
            <a:gd name="connsiteX174" fmla="*/ 797092 w 1203158"/>
            <a:gd name="connsiteY174" fmla="*/ 10560 h 1494455"/>
            <a:gd name="connsiteX175" fmla="*/ 852237 w 1203158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62527 w 1214870"/>
            <a:gd name="connsiteY48" fmla="*/ 1078363 h 1494455"/>
            <a:gd name="connsiteX49" fmla="*/ 952500 w 1214870"/>
            <a:gd name="connsiteY49" fmla="*/ 1108442 h 1494455"/>
            <a:gd name="connsiteX50" fmla="*/ 947487 w 1214870"/>
            <a:gd name="connsiteY50" fmla="*/ 1123481 h 1494455"/>
            <a:gd name="connsiteX51" fmla="*/ 957513 w 1214870"/>
            <a:gd name="connsiteY51" fmla="*/ 1158573 h 1494455"/>
            <a:gd name="connsiteX52" fmla="*/ 972553 w 1214870"/>
            <a:gd name="connsiteY52" fmla="*/ 1163587 h 1494455"/>
            <a:gd name="connsiteX53" fmla="*/ 997619 w 1214870"/>
            <a:gd name="connsiteY53" fmla="*/ 1183639 h 1494455"/>
            <a:gd name="connsiteX54" fmla="*/ 1029852 w 1214870"/>
            <a:gd name="connsiteY54" fmla="*/ 1189655 h 1494455"/>
            <a:gd name="connsiteX55" fmla="*/ 1047750 w 1214870"/>
            <a:gd name="connsiteY55" fmla="*/ 1228758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62527 w 1214870"/>
            <a:gd name="connsiteY48" fmla="*/ 1078363 h 1494455"/>
            <a:gd name="connsiteX49" fmla="*/ 952500 w 1214870"/>
            <a:gd name="connsiteY49" fmla="*/ 1108442 h 1494455"/>
            <a:gd name="connsiteX50" fmla="*/ 947487 w 1214870"/>
            <a:gd name="connsiteY50" fmla="*/ 1123481 h 1494455"/>
            <a:gd name="connsiteX51" fmla="*/ 957513 w 1214870"/>
            <a:gd name="connsiteY51" fmla="*/ 1158573 h 1494455"/>
            <a:gd name="connsiteX52" fmla="*/ 972553 w 1214870"/>
            <a:gd name="connsiteY52" fmla="*/ 1163587 h 1494455"/>
            <a:gd name="connsiteX53" fmla="*/ 997619 w 1214870"/>
            <a:gd name="connsiteY53" fmla="*/ 1183639 h 1494455"/>
            <a:gd name="connsiteX54" fmla="*/ 1029852 w 1214870"/>
            <a:gd name="connsiteY54" fmla="*/ 1189655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62527 w 1214870"/>
            <a:gd name="connsiteY48" fmla="*/ 1078363 h 1494455"/>
            <a:gd name="connsiteX49" fmla="*/ 952500 w 1214870"/>
            <a:gd name="connsiteY49" fmla="*/ 1108442 h 1494455"/>
            <a:gd name="connsiteX50" fmla="*/ 947487 w 1214870"/>
            <a:gd name="connsiteY50" fmla="*/ 1123481 h 1494455"/>
            <a:gd name="connsiteX51" fmla="*/ 957513 w 1214870"/>
            <a:gd name="connsiteY51" fmla="*/ 1158573 h 1494455"/>
            <a:gd name="connsiteX52" fmla="*/ 972553 w 1214870"/>
            <a:gd name="connsiteY52" fmla="*/ 1163587 h 1494455"/>
            <a:gd name="connsiteX53" fmla="*/ 997619 w 1214870"/>
            <a:gd name="connsiteY53" fmla="*/ 1183639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62527 w 1214870"/>
            <a:gd name="connsiteY48" fmla="*/ 1078363 h 1494455"/>
            <a:gd name="connsiteX49" fmla="*/ 952500 w 1214870"/>
            <a:gd name="connsiteY49" fmla="*/ 1108442 h 1494455"/>
            <a:gd name="connsiteX50" fmla="*/ 947487 w 1214870"/>
            <a:gd name="connsiteY50" fmla="*/ 1123481 h 1494455"/>
            <a:gd name="connsiteX51" fmla="*/ 957513 w 1214870"/>
            <a:gd name="connsiteY51" fmla="*/ 1158573 h 1494455"/>
            <a:gd name="connsiteX52" fmla="*/ 972553 w 1214870"/>
            <a:gd name="connsiteY52" fmla="*/ 1163587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62527 w 1214870"/>
            <a:gd name="connsiteY48" fmla="*/ 1078363 h 1494455"/>
            <a:gd name="connsiteX49" fmla="*/ 952500 w 1214870"/>
            <a:gd name="connsiteY49" fmla="*/ 1108442 h 1494455"/>
            <a:gd name="connsiteX50" fmla="*/ 947487 w 1214870"/>
            <a:gd name="connsiteY50" fmla="*/ 1123481 h 1494455"/>
            <a:gd name="connsiteX51" fmla="*/ 957513 w 1214870"/>
            <a:gd name="connsiteY51" fmla="*/ 1158573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62527 w 1214870"/>
            <a:gd name="connsiteY48" fmla="*/ 1078363 h 1494455"/>
            <a:gd name="connsiteX49" fmla="*/ 952500 w 1214870"/>
            <a:gd name="connsiteY49" fmla="*/ 1108442 h 1494455"/>
            <a:gd name="connsiteX50" fmla="*/ 947487 w 1214870"/>
            <a:gd name="connsiteY50" fmla="*/ 1123481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62527 w 1214870"/>
            <a:gd name="connsiteY48" fmla="*/ 1078363 h 1494455"/>
            <a:gd name="connsiteX49" fmla="*/ 952500 w 1214870"/>
            <a:gd name="connsiteY49" fmla="*/ 1108442 h 1494455"/>
            <a:gd name="connsiteX50" fmla="*/ 968989 w 1214870"/>
            <a:gd name="connsiteY50" fmla="*/ 1118719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62527 w 1214870"/>
            <a:gd name="connsiteY48" fmla="*/ 1078363 h 1494455"/>
            <a:gd name="connsiteX49" fmla="*/ 952500 w 1214870"/>
            <a:gd name="connsiteY49" fmla="*/ 1108442 h 1494455"/>
            <a:gd name="connsiteX50" fmla="*/ 990492 w 1214870"/>
            <a:gd name="connsiteY50" fmla="*/ 1116338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74473 w 1214870"/>
            <a:gd name="connsiteY48" fmla="*/ 1075981 h 1494455"/>
            <a:gd name="connsiteX49" fmla="*/ 952500 w 1214870"/>
            <a:gd name="connsiteY49" fmla="*/ 1108442 h 1494455"/>
            <a:gd name="connsiteX50" fmla="*/ 990492 w 1214870"/>
            <a:gd name="connsiteY50" fmla="*/ 1116338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67540 w 1214870"/>
            <a:gd name="connsiteY47" fmla="*/ 105831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90492 w 1214870"/>
            <a:gd name="connsiteY50" fmla="*/ 1116338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4265 w 1214870"/>
            <a:gd name="connsiteY47" fmla="*/ 1060691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90492 w 1214870"/>
            <a:gd name="connsiteY50" fmla="*/ 1116338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1000990 w 1214870"/>
            <a:gd name="connsiteY47" fmla="*/ 1063072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90492 w 1214870"/>
            <a:gd name="connsiteY50" fmla="*/ 1116338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90492 w 1214870"/>
            <a:gd name="connsiteY50" fmla="*/ 1116338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48013 w 1214870"/>
            <a:gd name="connsiteY41" fmla="*/ 922955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58040 w 1214870"/>
            <a:gd name="connsiteY40" fmla="*/ 802639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68066 w 1214870"/>
            <a:gd name="connsiteY39" fmla="*/ 672297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63053 w 1214870"/>
            <a:gd name="connsiteY38" fmla="*/ 657258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48013 w 1214870"/>
            <a:gd name="connsiteY37" fmla="*/ 597100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64737 w 1214870"/>
            <a:gd name="connsiteY37" fmla="*/ 599481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69515 w 1214870"/>
            <a:gd name="connsiteY37" fmla="*/ 544713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68066 w 1214870"/>
            <a:gd name="connsiteY34" fmla="*/ 521902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73079 w 1214870"/>
            <a:gd name="connsiteY35" fmla="*/ 582060 h 1494455"/>
            <a:gd name="connsiteX36" fmla="*/ 1163053 w 1214870"/>
            <a:gd name="connsiteY36" fmla="*/ 592087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73079 w 1214870"/>
            <a:gd name="connsiteY35" fmla="*/ 582060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22421 w 1214870"/>
            <a:gd name="connsiteY21" fmla="*/ 281271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27434 w 1214870"/>
            <a:gd name="connsiteY20" fmla="*/ 266231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07645 w 1214870"/>
            <a:gd name="connsiteY27" fmla="*/ 396573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32711 w 1214870"/>
            <a:gd name="connsiteY29" fmla="*/ 431666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47750 w 1214870"/>
            <a:gd name="connsiteY30" fmla="*/ 441692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72816 w 1214870"/>
            <a:gd name="connsiteY31" fmla="*/ 461744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63053 w 1214870"/>
            <a:gd name="connsiteY15" fmla="*/ 231139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73079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178092 w 1214870"/>
            <a:gd name="connsiteY13" fmla="*/ 170981 h 1494455"/>
            <a:gd name="connsiteX14" fmla="*/ 1194582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27698 w 1214870"/>
            <a:gd name="connsiteY8" fmla="*/ 125863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206763 w 1214870"/>
            <a:gd name="connsiteY13" fmla="*/ 159075 h 1494455"/>
            <a:gd name="connsiteX14" fmla="*/ 1194582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2658 w 1214870"/>
            <a:gd name="connsiteY7" fmla="*/ 115837 h 1494455"/>
            <a:gd name="connsiteX8" fmla="*/ 1039644 w 1214870"/>
            <a:gd name="connsiteY8" fmla="*/ 111575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206763 w 1214870"/>
            <a:gd name="connsiteY13" fmla="*/ 159075 h 1494455"/>
            <a:gd name="connsiteX14" fmla="*/ 1194582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2606 w 1214870"/>
            <a:gd name="connsiteY6" fmla="*/ 90771 h 1494455"/>
            <a:gd name="connsiteX7" fmla="*/ 1015047 w 1214870"/>
            <a:gd name="connsiteY7" fmla="*/ 99168 h 1494455"/>
            <a:gd name="connsiteX8" fmla="*/ 1039644 w 1214870"/>
            <a:gd name="connsiteY8" fmla="*/ 111575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206763 w 1214870"/>
            <a:gd name="connsiteY13" fmla="*/ 159075 h 1494455"/>
            <a:gd name="connsiteX14" fmla="*/ 1194582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7540 w 1214870"/>
            <a:gd name="connsiteY5" fmla="*/ 70718 h 1494455"/>
            <a:gd name="connsiteX6" fmla="*/ 994995 w 1214870"/>
            <a:gd name="connsiteY6" fmla="*/ 74102 h 1494455"/>
            <a:gd name="connsiteX7" fmla="*/ 1015047 w 1214870"/>
            <a:gd name="connsiteY7" fmla="*/ 99168 h 1494455"/>
            <a:gd name="connsiteX8" fmla="*/ 1039644 w 1214870"/>
            <a:gd name="connsiteY8" fmla="*/ 111575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206763 w 1214870"/>
            <a:gd name="connsiteY13" fmla="*/ 159075 h 1494455"/>
            <a:gd name="connsiteX14" fmla="*/ 1194582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60692 h 1494455"/>
            <a:gd name="connsiteX5" fmla="*/ 965152 w 1214870"/>
            <a:gd name="connsiteY5" fmla="*/ 46905 h 1494455"/>
            <a:gd name="connsiteX6" fmla="*/ 994995 w 1214870"/>
            <a:gd name="connsiteY6" fmla="*/ 74102 h 1494455"/>
            <a:gd name="connsiteX7" fmla="*/ 1015047 w 1214870"/>
            <a:gd name="connsiteY7" fmla="*/ 99168 h 1494455"/>
            <a:gd name="connsiteX8" fmla="*/ 1039644 w 1214870"/>
            <a:gd name="connsiteY8" fmla="*/ 111575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206763 w 1214870"/>
            <a:gd name="connsiteY13" fmla="*/ 159075 h 1494455"/>
            <a:gd name="connsiteX14" fmla="*/ 1194582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55679 h 1494455"/>
            <a:gd name="connsiteX4" fmla="*/ 957513 w 1214870"/>
            <a:gd name="connsiteY4" fmla="*/ 39261 h 1494455"/>
            <a:gd name="connsiteX5" fmla="*/ 965152 w 1214870"/>
            <a:gd name="connsiteY5" fmla="*/ 46905 h 1494455"/>
            <a:gd name="connsiteX6" fmla="*/ 994995 w 1214870"/>
            <a:gd name="connsiteY6" fmla="*/ 74102 h 1494455"/>
            <a:gd name="connsiteX7" fmla="*/ 1015047 w 1214870"/>
            <a:gd name="connsiteY7" fmla="*/ 99168 h 1494455"/>
            <a:gd name="connsiteX8" fmla="*/ 1039644 w 1214870"/>
            <a:gd name="connsiteY8" fmla="*/ 111575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206763 w 1214870"/>
            <a:gd name="connsiteY13" fmla="*/ 159075 h 1494455"/>
            <a:gd name="connsiteX14" fmla="*/ 1194582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35626 h 1494455"/>
            <a:gd name="connsiteX3" fmla="*/ 942474 w 1214870"/>
            <a:gd name="connsiteY3" fmla="*/ 29486 h 1494455"/>
            <a:gd name="connsiteX4" fmla="*/ 957513 w 1214870"/>
            <a:gd name="connsiteY4" fmla="*/ 39261 h 1494455"/>
            <a:gd name="connsiteX5" fmla="*/ 965152 w 1214870"/>
            <a:gd name="connsiteY5" fmla="*/ 46905 h 1494455"/>
            <a:gd name="connsiteX6" fmla="*/ 994995 w 1214870"/>
            <a:gd name="connsiteY6" fmla="*/ 74102 h 1494455"/>
            <a:gd name="connsiteX7" fmla="*/ 1015047 w 1214870"/>
            <a:gd name="connsiteY7" fmla="*/ 99168 h 1494455"/>
            <a:gd name="connsiteX8" fmla="*/ 1039644 w 1214870"/>
            <a:gd name="connsiteY8" fmla="*/ 111575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206763 w 1214870"/>
            <a:gd name="connsiteY13" fmla="*/ 159075 h 1494455"/>
            <a:gd name="connsiteX14" fmla="*/ 1194582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534 h 1494455"/>
            <a:gd name="connsiteX1" fmla="*/ 907382 w 1214870"/>
            <a:gd name="connsiteY1" fmla="*/ 25600 h 1494455"/>
            <a:gd name="connsiteX2" fmla="*/ 922421 w 1214870"/>
            <a:gd name="connsiteY2" fmla="*/ 18957 h 1494455"/>
            <a:gd name="connsiteX3" fmla="*/ 942474 w 1214870"/>
            <a:gd name="connsiteY3" fmla="*/ 29486 h 1494455"/>
            <a:gd name="connsiteX4" fmla="*/ 957513 w 1214870"/>
            <a:gd name="connsiteY4" fmla="*/ 39261 h 1494455"/>
            <a:gd name="connsiteX5" fmla="*/ 965152 w 1214870"/>
            <a:gd name="connsiteY5" fmla="*/ 46905 h 1494455"/>
            <a:gd name="connsiteX6" fmla="*/ 994995 w 1214870"/>
            <a:gd name="connsiteY6" fmla="*/ 74102 h 1494455"/>
            <a:gd name="connsiteX7" fmla="*/ 1015047 w 1214870"/>
            <a:gd name="connsiteY7" fmla="*/ 99168 h 1494455"/>
            <a:gd name="connsiteX8" fmla="*/ 1039644 w 1214870"/>
            <a:gd name="connsiteY8" fmla="*/ 111575 h 1494455"/>
            <a:gd name="connsiteX9" fmla="*/ 1097882 w 1214870"/>
            <a:gd name="connsiteY9" fmla="*/ 130876 h 1494455"/>
            <a:gd name="connsiteX10" fmla="*/ 1112921 w 1214870"/>
            <a:gd name="connsiteY10" fmla="*/ 135889 h 1494455"/>
            <a:gd name="connsiteX11" fmla="*/ 1168066 w 1214870"/>
            <a:gd name="connsiteY11" fmla="*/ 145916 h 1494455"/>
            <a:gd name="connsiteX12" fmla="*/ 1183106 w 1214870"/>
            <a:gd name="connsiteY12" fmla="*/ 150929 h 1494455"/>
            <a:gd name="connsiteX13" fmla="*/ 1206763 w 1214870"/>
            <a:gd name="connsiteY13" fmla="*/ 159075 h 1494455"/>
            <a:gd name="connsiteX14" fmla="*/ 1194582 w 1214870"/>
            <a:gd name="connsiteY14" fmla="*/ 201060 h 1494455"/>
            <a:gd name="connsiteX15" fmla="*/ 1182167 w 1214870"/>
            <a:gd name="connsiteY15" fmla="*/ 235902 h 1494455"/>
            <a:gd name="connsiteX16" fmla="*/ 1158040 w 1214870"/>
            <a:gd name="connsiteY16" fmla="*/ 251192 h 1494455"/>
            <a:gd name="connsiteX17" fmla="*/ 1127961 w 1214870"/>
            <a:gd name="connsiteY17" fmla="*/ 261218 h 1494455"/>
            <a:gd name="connsiteX18" fmla="*/ 1002632 w 1214870"/>
            <a:gd name="connsiteY18" fmla="*/ 251192 h 1494455"/>
            <a:gd name="connsiteX19" fmla="*/ 957513 w 1214870"/>
            <a:gd name="connsiteY19" fmla="*/ 256205 h 1494455"/>
            <a:gd name="connsiteX20" fmla="*/ 946547 w 1214870"/>
            <a:gd name="connsiteY20" fmla="*/ 268612 h 1494455"/>
            <a:gd name="connsiteX21" fmla="*/ 939146 w 1214870"/>
            <a:gd name="connsiteY21" fmla="*/ 286034 h 1494455"/>
            <a:gd name="connsiteX22" fmla="*/ 947487 w 1214870"/>
            <a:gd name="connsiteY22" fmla="*/ 301323 h 1494455"/>
            <a:gd name="connsiteX23" fmla="*/ 967540 w 1214870"/>
            <a:gd name="connsiteY23" fmla="*/ 326389 h 1494455"/>
            <a:gd name="connsiteX24" fmla="*/ 977566 w 1214870"/>
            <a:gd name="connsiteY24" fmla="*/ 341429 h 1494455"/>
            <a:gd name="connsiteX25" fmla="*/ 992606 w 1214870"/>
            <a:gd name="connsiteY25" fmla="*/ 346442 h 1494455"/>
            <a:gd name="connsiteX26" fmla="*/ 1002632 w 1214870"/>
            <a:gd name="connsiteY26" fmla="*/ 381534 h 1494455"/>
            <a:gd name="connsiteX27" fmla="*/ 1017202 w 1214870"/>
            <a:gd name="connsiteY27" fmla="*/ 391810 h 1494455"/>
            <a:gd name="connsiteX28" fmla="*/ 1027698 w 1214870"/>
            <a:gd name="connsiteY28" fmla="*/ 416626 h 1494455"/>
            <a:gd name="connsiteX29" fmla="*/ 1047046 w 1214870"/>
            <a:gd name="connsiteY29" fmla="*/ 419759 h 1494455"/>
            <a:gd name="connsiteX30" fmla="*/ 1062085 w 1214870"/>
            <a:gd name="connsiteY30" fmla="*/ 432167 h 1494455"/>
            <a:gd name="connsiteX31" fmla="*/ 1082373 w 1214870"/>
            <a:gd name="connsiteY31" fmla="*/ 454600 h 1494455"/>
            <a:gd name="connsiteX32" fmla="*/ 1117934 w 1214870"/>
            <a:gd name="connsiteY32" fmla="*/ 481797 h 1494455"/>
            <a:gd name="connsiteX33" fmla="*/ 1137987 w 1214870"/>
            <a:gd name="connsiteY33" fmla="*/ 501850 h 1494455"/>
            <a:gd name="connsiteX34" fmla="*/ 1175233 w 1214870"/>
            <a:gd name="connsiteY34" fmla="*/ 500471 h 1494455"/>
            <a:gd name="connsiteX35" fmla="*/ 1182636 w 1214870"/>
            <a:gd name="connsiteY35" fmla="*/ 503479 h 1494455"/>
            <a:gd name="connsiteX36" fmla="*/ 1174999 w 1214870"/>
            <a:gd name="connsiteY36" fmla="*/ 520649 h 1494455"/>
            <a:gd name="connsiteX37" fmla="*/ 1188629 w 1214870"/>
            <a:gd name="connsiteY37" fmla="*/ 518519 h 1494455"/>
            <a:gd name="connsiteX38" fmla="*/ 1186946 w 1214870"/>
            <a:gd name="connsiteY38" fmla="*/ 645352 h 1494455"/>
            <a:gd name="connsiteX39" fmla="*/ 1189569 w 1214870"/>
            <a:gd name="connsiteY39" fmla="*/ 688966 h 1494455"/>
            <a:gd name="connsiteX40" fmla="*/ 1169986 w 1214870"/>
            <a:gd name="connsiteY40" fmla="*/ 797876 h 1494455"/>
            <a:gd name="connsiteX41" fmla="*/ 1155181 w 1214870"/>
            <a:gd name="connsiteY41" fmla="*/ 918192 h 1494455"/>
            <a:gd name="connsiteX42" fmla="*/ 1143000 w 1214870"/>
            <a:gd name="connsiteY42" fmla="*/ 988126 h 1494455"/>
            <a:gd name="connsiteX43" fmla="*/ 1122948 w 1214870"/>
            <a:gd name="connsiteY43" fmla="*/ 1018205 h 1494455"/>
            <a:gd name="connsiteX44" fmla="*/ 1007645 w 1214870"/>
            <a:gd name="connsiteY44" fmla="*/ 1033244 h 1494455"/>
            <a:gd name="connsiteX45" fmla="*/ 992606 w 1214870"/>
            <a:gd name="connsiteY45" fmla="*/ 1038258 h 1494455"/>
            <a:gd name="connsiteX46" fmla="*/ 972553 w 1214870"/>
            <a:gd name="connsiteY46" fmla="*/ 1043271 h 1494455"/>
            <a:gd name="connsiteX47" fmla="*/ 986655 w 1214870"/>
            <a:gd name="connsiteY47" fmla="*/ 1060690 h 1494455"/>
            <a:gd name="connsiteX48" fmla="*/ 974473 w 1214870"/>
            <a:gd name="connsiteY48" fmla="*/ 1075981 h 1494455"/>
            <a:gd name="connsiteX49" fmla="*/ 974003 w 1214870"/>
            <a:gd name="connsiteY49" fmla="*/ 1101298 h 1494455"/>
            <a:gd name="connsiteX50" fmla="*/ 980935 w 1214870"/>
            <a:gd name="connsiteY50" fmla="*/ 1111576 h 1494455"/>
            <a:gd name="connsiteX51" fmla="*/ 979016 w 1214870"/>
            <a:gd name="connsiteY51" fmla="*/ 1132379 h 1494455"/>
            <a:gd name="connsiteX52" fmla="*/ 982110 w 1214870"/>
            <a:gd name="connsiteY52" fmla="*/ 1142156 h 1494455"/>
            <a:gd name="connsiteX53" fmla="*/ 997619 w 1214870"/>
            <a:gd name="connsiteY53" fmla="*/ 1157445 h 1494455"/>
            <a:gd name="connsiteX54" fmla="*/ 1044187 w 1214870"/>
            <a:gd name="connsiteY54" fmla="*/ 1177749 h 1494455"/>
            <a:gd name="connsiteX55" fmla="*/ 1064475 w 1214870"/>
            <a:gd name="connsiteY55" fmla="*/ 1221614 h 1494455"/>
            <a:gd name="connsiteX56" fmla="*/ 1074736 w 1214870"/>
            <a:gd name="connsiteY56" fmla="*/ 1234022 h 1494455"/>
            <a:gd name="connsiteX57" fmla="*/ 1079984 w 1214870"/>
            <a:gd name="connsiteY57" fmla="*/ 1244298 h 1494455"/>
            <a:gd name="connsiteX58" fmla="*/ 1100036 w 1214870"/>
            <a:gd name="connsiteY58" fmla="*/ 1269114 h 1494455"/>
            <a:gd name="connsiteX59" fmla="*/ 1114842 w 1214870"/>
            <a:gd name="connsiteY59" fmla="*/ 1281772 h 1494455"/>
            <a:gd name="connsiteX60" fmla="*/ 1152088 w 1214870"/>
            <a:gd name="connsiteY60" fmla="*/ 1301573 h 1494455"/>
            <a:gd name="connsiteX61" fmla="*/ 1166892 w 1214870"/>
            <a:gd name="connsiteY61" fmla="*/ 1316612 h 1494455"/>
            <a:gd name="connsiteX62" fmla="*/ 1187414 w 1214870"/>
            <a:gd name="connsiteY62" fmla="*/ 1341428 h 1494455"/>
            <a:gd name="connsiteX63" fmla="*/ 1178092 w 1214870"/>
            <a:gd name="connsiteY63" fmla="*/ 1354087 h 1494455"/>
            <a:gd name="connsiteX64" fmla="*/ 1197676 w 1214870"/>
            <a:gd name="connsiteY64" fmla="*/ 1361731 h 1494455"/>
            <a:gd name="connsiteX65" fmla="*/ 1214870 w 1214870"/>
            <a:gd name="connsiteY65" fmla="*/ 1391811 h 1494455"/>
            <a:gd name="connsiteX66" fmla="*/ 1203158 w 1214870"/>
            <a:gd name="connsiteY66" fmla="*/ 1409231 h 1494455"/>
            <a:gd name="connsiteX67" fmla="*/ 1017671 w 1214870"/>
            <a:gd name="connsiteY67" fmla="*/ 1424271 h 1494455"/>
            <a:gd name="connsiteX68" fmla="*/ 997619 w 1214870"/>
            <a:gd name="connsiteY68" fmla="*/ 1429284 h 1494455"/>
            <a:gd name="connsiteX69" fmla="*/ 967540 w 1214870"/>
            <a:gd name="connsiteY69" fmla="*/ 1464376 h 1494455"/>
            <a:gd name="connsiteX70" fmla="*/ 962527 w 1214870"/>
            <a:gd name="connsiteY70" fmla="*/ 1479416 h 1494455"/>
            <a:gd name="connsiteX71" fmla="*/ 937461 w 1214870"/>
            <a:gd name="connsiteY71" fmla="*/ 1494455 h 1494455"/>
            <a:gd name="connsiteX72" fmla="*/ 917408 w 1214870"/>
            <a:gd name="connsiteY72" fmla="*/ 1489442 h 1494455"/>
            <a:gd name="connsiteX73" fmla="*/ 902369 w 1214870"/>
            <a:gd name="connsiteY73" fmla="*/ 1479416 h 1494455"/>
            <a:gd name="connsiteX74" fmla="*/ 887329 w 1214870"/>
            <a:gd name="connsiteY74" fmla="*/ 1474402 h 1494455"/>
            <a:gd name="connsiteX75" fmla="*/ 877303 w 1214870"/>
            <a:gd name="connsiteY75" fmla="*/ 1459363 h 1494455"/>
            <a:gd name="connsiteX76" fmla="*/ 862263 w 1214870"/>
            <a:gd name="connsiteY76" fmla="*/ 1454350 h 1494455"/>
            <a:gd name="connsiteX77" fmla="*/ 857250 w 1214870"/>
            <a:gd name="connsiteY77" fmla="*/ 1439310 h 1494455"/>
            <a:gd name="connsiteX78" fmla="*/ 842211 w 1214870"/>
            <a:gd name="connsiteY78" fmla="*/ 1429284 h 1494455"/>
            <a:gd name="connsiteX79" fmla="*/ 837198 w 1214870"/>
            <a:gd name="connsiteY79" fmla="*/ 1414244 h 1494455"/>
            <a:gd name="connsiteX80" fmla="*/ 797092 w 1214870"/>
            <a:gd name="connsiteY80" fmla="*/ 1384166 h 1494455"/>
            <a:gd name="connsiteX81" fmla="*/ 772027 w 1214870"/>
            <a:gd name="connsiteY81" fmla="*/ 1364113 h 1494455"/>
            <a:gd name="connsiteX82" fmla="*/ 736934 w 1214870"/>
            <a:gd name="connsiteY82" fmla="*/ 1334034 h 1494455"/>
            <a:gd name="connsiteX83" fmla="*/ 721895 w 1214870"/>
            <a:gd name="connsiteY83" fmla="*/ 1329021 h 1494455"/>
            <a:gd name="connsiteX84" fmla="*/ 641684 w 1214870"/>
            <a:gd name="connsiteY84" fmla="*/ 1324008 h 1494455"/>
            <a:gd name="connsiteX85" fmla="*/ 626645 w 1214870"/>
            <a:gd name="connsiteY85" fmla="*/ 1334034 h 1494455"/>
            <a:gd name="connsiteX86" fmla="*/ 581527 w 1214870"/>
            <a:gd name="connsiteY86" fmla="*/ 1339047 h 1494455"/>
            <a:gd name="connsiteX87" fmla="*/ 561474 w 1214870"/>
            <a:gd name="connsiteY87" fmla="*/ 1344060 h 1494455"/>
            <a:gd name="connsiteX88" fmla="*/ 526382 w 1214870"/>
            <a:gd name="connsiteY88" fmla="*/ 1354087 h 1494455"/>
            <a:gd name="connsiteX89" fmla="*/ 491290 w 1214870"/>
            <a:gd name="connsiteY89" fmla="*/ 1359100 h 1494455"/>
            <a:gd name="connsiteX90" fmla="*/ 255671 w 1214870"/>
            <a:gd name="connsiteY90" fmla="*/ 1354087 h 1494455"/>
            <a:gd name="connsiteX91" fmla="*/ 250658 w 1214870"/>
            <a:gd name="connsiteY91" fmla="*/ 1339047 h 1494455"/>
            <a:gd name="connsiteX92" fmla="*/ 255671 w 1214870"/>
            <a:gd name="connsiteY92" fmla="*/ 1263850 h 1494455"/>
            <a:gd name="connsiteX93" fmla="*/ 260684 w 1214870"/>
            <a:gd name="connsiteY93" fmla="*/ 1233771 h 1494455"/>
            <a:gd name="connsiteX94" fmla="*/ 305803 w 1214870"/>
            <a:gd name="connsiteY94" fmla="*/ 1218731 h 1494455"/>
            <a:gd name="connsiteX95" fmla="*/ 320842 w 1214870"/>
            <a:gd name="connsiteY95" fmla="*/ 1213718 h 1494455"/>
            <a:gd name="connsiteX96" fmla="*/ 330869 w 1214870"/>
            <a:gd name="connsiteY96" fmla="*/ 1203692 h 1494455"/>
            <a:gd name="connsiteX97" fmla="*/ 350921 w 1214870"/>
            <a:gd name="connsiteY97" fmla="*/ 1173613 h 1494455"/>
            <a:gd name="connsiteX98" fmla="*/ 355934 w 1214870"/>
            <a:gd name="connsiteY98" fmla="*/ 1158573 h 1494455"/>
            <a:gd name="connsiteX99" fmla="*/ 340895 w 1214870"/>
            <a:gd name="connsiteY99" fmla="*/ 1148547 h 1494455"/>
            <a:gd name="connsiteX100" fmla="*/ 325856 w 1214870"/>
            <a:gd name="connsiteY100" fmla="*/ 1133508 h 1494455"/>
            <a:gd name="connsiteX101" fmla="*/ 295777 w 1214870"/>
            <a:gd name="connsiteY101" fmla="*/ 1123481 h 1494455"/>
            <a:gd name="connsiteX102" fmla="*/ 285750 w 1214870"/>
            <a:gd name="connsiteY102" fmla="*/ 1113455 h 1494455"/>
            <a:gd name="connsiteX103" fmla="*/ 265698 w 1214870"/>
            <a:gd name="connsiteY103" fmla="*/ 1068337 h 1494455"/>
            <a:gd name="connsiteX104" fmla="*/ 250658 w 1214870"/>
            <a:gd name="connsiteY104" fmla="*/ 1013192 h 1494455"/>
            <a:gd name="connsiteX105" fmla="*/ 235619 w 1214870"/>
            <a:gd name="connsiteY105" fmla="*/ 1008179 h 1494455"/>
            <a:gd name="connsiteX106" fmla="*/ 220579 w 1214870"/>
            <a:gd name="connsiteY106" fmla="*/ 998152 h 1494455"/>
            <a:gd name="connsiteX107" fmla="*/ 190500 w 1214870"/>
            <a:gd name="connsiteY107" fmla="*/ 988126 h 1494455"/>
            <a:gd name="connsiteX108" fmla="*/ 160421 w 1214870"/>
            <a:gd name="connsiteY108" fmla="*/ 973087 h 1494455"/>
            <a:gd name="connsiteX109" fmla="*/ 145382 w 1214870"/>
            <a:gd name="connsiteY109" fmla="*/ 963060 h 1494455"/>
            <a:gd name="connsiteX110" fmla="*/ 110290 w 1214870"/>
            <a:gd name="connsiteY110" fmla="*/ 953034 h 1494455"/>
            <a:gd name="connsiteX111" fmla="*/ 95250 w 1214870"/>
            <a:gd name="connsiteY111" fmla="*/ 948021 h 1494455"/>
            <a:gd name="connsiteX112" fmla="*/ 85224 w 1214870"/>
            <a:gd name="connsiteY112" fmla="*/ 932981 h 1494455"/>
            <a:gd name="connsiteX113" fmla="*/ 70184 w 1214870"/>
            <a:gd name="connsiteY113" fmla="*/ 922955 h 1494455"/>
            <a:gd name="connsiteX114" fmla="*/ 65171 w 1214870"/>
            <a:gd name="connsiteY114" fmla="*/ 907916 h 1494455"/>
            <a:gd name="connsiteX115" fmla="*/ 55145 w 1214870"/>
            <a:gd name="connsiteY115" fmla="*/ 897889 h 1494455"/>
            <a:gd name="connsiteX116" fmla="*/ 30079 w 1214870"/>
            <a:gd name="connsiteY116" fmla="*/ 877837 h 1494455"/>
            <a:gd name="connsiteX117" fmla="*/ 10027 w 1214870"/>
            <a:gd name="connsiteY117" fmla="*/ 862797 h 1494455"/>
            <a:gd name="connsiteX118" fmla="*/ 0 w 1214870"/>
            <a:gd name="connsiteY118" fmla="*/ 852771 h 1494455"/>
            <a:gd name="connsiteX119" fmla="*/ 10027 w 1214870"/>
            <a:gd name="connsiteY119" fmla="*/ 842744 h 1494455"/>
            <a:gd name="connsiteX120" fmla="*/ 45119 w 1214870"/>
            <a:gd name="connsiteY120" fmla="*/ 847758 h 1494455"/>
            <a:gd name="connsiteX121" fmla="*/ 55145 w 1214870"/>
            <a:gd name="connsiteY121" fmla="*/ 862797 h 1494455"/>
            <a:gd name="connsiteX122" fmla="*/ 70184 w 1214870"/>
            <a:gd name="connsiteY122" fmla="*/ 877837 h 1494455"/>
            <a:gd name="connsiteX123" fmla="*/ 120316 w 1214870"/>
            <a:gd name="connsiteY123" fmla="*/ 887863 h 1494455"/>
            <a:gd name="connsiteX124" fmla="*/ 310816 w 1214870"/>
            <a:gd name="connsiteY124" fmla="*/ 877837 h 1494455"/>
            <a:gd name="connsiteX125" fmla="*/ 345908 w 1214870"/>
            <a:gd name="connsiteY125" fmla="*/ 867810 h 1494455"/>
            <a:gd name="connsiteX126" fmla="*/ 381000 w 1214870"/>
            <a:gd name="connsiteY126" fmla="*/ 862797 h 1494455"/>
            <a:gd name="connsiteX127" fmla="*/ 411079 w 1214870"/>
            <a:gd name="connsiteY127" fmla="*/ 852771 h 1494455"/>
            <a:gd name="connsiteX128" fmla="*/ 426119 w 1214870"/>
            <a:gd name="connsiteY128" fmla="*/ 847758 h 1494455"/>
            <a:gd name="connsiteX129" fmla="*/ 451184 w 1214870"/>
            <a:gd name="connsiteY129" fmla="*/ 842744 h 1494455"/>
            <a:gd name="connsiteX130" fmla="*/ 461211 w 1214870"/>
            <a:gd name="connsiteY130" fmla="*/ 832718 h 1494455"/>
            <a:gd name="connsiteX131" fmla="*/ 476250 w 1214870"/>
            <a:gd name="connsiteY131" fmla="*/ 827705 h 1494455"/>
            <a:gd name="connsiteX132" fmla="*/ 486277 w 1214870"/>
            <a:gd name="connsiteY132" fmla="*/ 797626 h 1494455"/>
            <a:gd name="connsiteX133" fmla="*/ 476250 w 1214870"/>
            <a:gd name="connsiteY133" fmla="*/ 782587 h 1494455"/>
            <a:gd name="connsiteX134" fmla="*/ 476250 w 1214870"/>
            <a:gd name="connsiteY134" fmla="*/ 687337 h 1494455"/>
            <a:gd name="connsiteX135" fmla="*/ 486277 w 1214870"/>
            <a:gd name="connsiteY135" fmla="*/ 677310 h 1494455"/>
            <a:gd name="connsiteX136" fmla="*/ 526382 w 1214870"/>
            <a:gd name="connsiteY136" fmla="*/ 662271 h 1494455"/>
            <a:gd name="connsiteX137" fmla="*/ 536408 w 1214870"/>
            <a:gd name="connsiteY137" fmla="*/ 647231 h 1494455"/>
            <a:gd name="connsiteX138" fmla="*/ 541421 w 1214870"/>
            <a:gd name="connsiteY138" fmla="*/ 632192 h 1494455"/>
            <a:gd name="connsiteX139" fmla="*/ 556461 w 1214870"/>
            <a:gd name="connsiteY139" fmla="*/ 627179 h 1494455"/>
            <a:gd name="connsiteX140" fmla="*/ 631658 w 1214870"/>
            <a:gd name="connsiteY140" fmla="*/ 627179 h 1494455"/>
            <a:gd name="connsiteX141" fmla="*/ 636671 w 1214870"/>
            <a:gd name="connsiteY141" fmla="*/ 612139 h 1494455"/>
            <a:gd name="connsiteX142" fmla="*/ 646698 w 1214870"/>
            <a:gd name="connsiteY142" fmla="*/ 602113 h 1494455"/>
            <a:gd name="connsiteX143" fmla="*/ 651711 w 1214870"/>
            <a:gd name="connsiteY143" fmla="*/ 567021 h 1494455"/>
            <a:gd name="connsiteX144" fmla="*/ 641684 w 1214870"/>
            <a:gd name="connsiteY144" fmla="*/ 531929 h 1494455"/>
            <a:gd name="connsiteX145" fmla="*/ 631658 w 1214870"/>
            <a:gd name="connsiteY145" fmla="*/ 516889 h 1494455"/>
            <a:gd name="connsiteX146" fmla="*/ 626645 w 1214870"/>
            <a:gd name="connsiteY146" fmla="*/ 501850 h 1494455"/>
            <a:gd name="connsiteX147" fmla="*/ 641684 w 1214870"/>
            <a:gd name="connsiteY147" fmla="*/ 461744 h 1494455"/>
            <a:gd name="connsiteX148" fmla="*/ 656724 w 1214870"/>
            <a:gd name="connsiteY148" fmla="*/ 456731 h 1494455"/>
            <a:gd name="connsiteX149" fmla="*/ 671763 w 1214870"/>
            <a:gd name="connsiteY149" fmla="*/ 441692 h 1494455"/>
            <a:gd name="connsiteX150" fmla="*/ 651711 w 1214870"/>
            <a:gd name="connsiteY150" fmla="*/ 406600 h 1494455"/>
            <a:gd name="connsiteX151" fmla="*/ 626645 w 1214870"/>
            <a:gd name="connsiteY151" fmla="*/ 386547 h 1494455"/>
            <a:gd name="connsiteX152" fmla="*/ 616619 w 1214870"/>
            <a:gd name="connsiteY152" fmla="*/ 371508 h 1494455"/>
            <a:gd name="connsiteX153" fmla="*/ 631658 w 1214870"/>
            <a:gd name="connsiteY153" fmla="*/ 366494 h 1494455"/>
            <a:gd name="connsiteX154" fmla="*/ 656724 w 1214870"/>
            <a:gd name="connsiteY154" fmla="*/ 361481 h 1494455"/>
            <a:gd name="connsiteX155" fmla="*/ 686803 w 1214870"/>
            <a:gd name="connsiteY155" fmla="*/ 351455 h 1494455"/>
            <a:gd name="connsiteX156" fmla="*/ 681790 w 1214870"/>
            <a:gd name="connsiteY156" fmla="*/ 321376 h 1494455"/>
            <a:gd name="connsiteX157" fmla="*/ 666750 w 1214870"/>
            <a:gd name="connsiteY157" fmla="*/ 311350 h 1494455"/>
            <a:gd name="connsiteX158" fmla="*/ 661737 w 1214870"/>
            <a:gd name="connsiteY158" fmla="*/ 296310 h 1494455"/>
            <a:gd name="connsiteX159" fmla="*/ 666750 w 1214870"/>
            <a:gd name="connsiteY159" fmla="*/ 266231 h 1494455"/>
            <a:gd name="connsiteX160" fmla="*/ 666750 w 1214870"/>
            <a:gd name="connsiteY160" fmla="*/ 216100 h 1494455"/>
            <a:gd name="connsiteX161" fmla="*/ 656724 w 1214870"/>
            <a:gd name="connsiteY161" fmla="*/ 206073 h 1494455"/>
            <a:gd name="connsiteX162" fmla="*/ 646698 w 1214870"/>
            <a:gd name="connsiteY162" fmla="*/ 191034 h 1494455"/>
            <a:gd name="connsiteX163" fmla="*/ 636671 w 1214870"/>
            <a:gd name="connsiteY163" fmla="*/ 181008 h 1494455"/>
            <a:gd name="connsiteX164" fmla="*/ 616619 w 1214870"/>
            <a:gd name="connsiteY164" fmla="*/ 145916 h 1494455"/>
            <a:gd name="connsiteX165" fmla="*/ 606592 w 1214870"/>
            <a:gd name="connsiteY165" fmla="*/ 135889 h 1494455"/>
            <a:gd name="connsiteX166" fmla="*/ 596566 w 1214870"/>
            <a:gd name="connsiteY166" fmla="*/ 120850 h 1494455"/>
            <a:gd name="connsiteX167" fmla="*/ 601579 w 1214870"/>
            <a:gd name="connsiteY167" fmla="*/ 90771 h 1494455"/>
            <a:gd name="connsiteX168" fmla="*/ 616619 w 1214870"/>
            <a:gd name="connsiteY168" fmla="*/ 85758 h 1494455"/>
            <a:gd name="connsiteX169" fmla="*/ 661737 w 1214870"/>
            <a:gd name="connsiteY169" fmla="*/ 80744 h 1494455"/>
            <a:gd name="connsiteX170" fmla="*/ 691816 w 1214870"/>
            <a:gd name="connsiteY170" fmla="*/ 70718 h 1494455"/>
            <a:gd name="connsiteX171" fmla="*/ 706856 w 1214870"/>
            <a:gd name="connsiteY171" fmla="*/ 60692 h 1494455"/>
            <a:gd name="connsiteX172" fmla="*/ 756987 w 1214870"/>
            <a:gd name="connsiteY172" fmla="*/ 45652 h 1494455"/>
            <a:gd name="connsiteX173" fmla="*/ 787066 w 1214870"/>
            <a:gd name="connsiteY173" fmla="*/ 25600 h 1494455"/>
            <a:gd name="connsiteX174" fmla="*/ 797092 w 1214870"/>
            <a:gd name="connsiteY174" fmla="*/ 10560 h 1494455"/>
            <a:gd name="connsiteX175" fmla="*/ 852237 w 1214870"/>
            <a:gd name="connsiteY175" fmla="*/ 534 h 1494455"/>
            <a:gd name="connsiteX0" fmla="*/ 852237 w 1214870"/>
            <a:gd name="connsiteY0" fmla="*/ 3 h 1493924"/>
            <a:gd name="connsiteX1" fmla="*/ 897825 w 1214870"/>
            <a:gd name="connsiteY1" fmla="*/ 10782 h 1493924"/>
            <a:gd name="connsiteX2" fmla="*/ 922421 w 1214870"/>
            <a:gd name="connsiteY2" fmla="*/ 18426 h 1493924"/>
            <a:gd name="connsiteX3" fmla="*/ 942474 w 1214870"/>
            <a:gd name="connsiteY3" fmla="*/ 28955 h 1493924"/>
            <a:gd name="connsiteX4" fmla="*/ 957513 w 1214870"/>
            <a:gd name="connsiteY4" fmla="*/ 38730 h 1493924"/>
            <a:gd name="connsiteX5" fmla="*/ 965152 w 1214870"/>
            <a:gd name="connsiteY5" fmla="*/ 46374 h 1493924"/>
            <a:gd name="connsiteX6" fmla="*/ 994995 w 1214870"/>
            <a:gd name="connsiteY6" fmla="*/ 73571 h 1493924"/>
            <a:gd name="connsiteX7" fmla="*/ 1015047 w 1214870"/>
            <a:gd name="connsiteY7" fmla="*/ 98637 h 1493924"/>
            <a:gd name="connsiteX8" fmla="*/ 1039644 w 1214870"/>
            <a:gd name="connsiteY8" fmla="*/ 111044 h 1493924"/>
            <a:gd name="connsiteX9" fmla="*/ 1097882 w 1214870"/>
            <a:gd name="connsiteY9" fmla="*/ 130345 h 1493924"/>
            <a:gd name="connsiteX10" fmla="*/ 1112921 w 1214870"/>
            <a:gd name="connsiteY10" fmla="*/ 135358 h 1493924"/>
            <a:gd name="connsiteX11" fmla="*/ 1168066 w 1214870"/>
            <a:gd name="connsiteY11" fmla="*/ 145385 h 1493924"/>
            <a:gd name="connsiteX12" fmla="*/ 1183106 w 1214870"/>
            <a:gd name="connsiteY12" fmla="*/ 150398 h 1493924"/>
            <a:gd name="connsiteX13" fmla="*/ 1206763 w 1214870"/>
            <a:gd name="connsiteY13" fmla="*/ 158544 h 1493924"/>
            <a:gd name="connsiteX14" fmla="*/ 1194582 w 1214870"/>
            <a:gd name="connsiteY14" fmla="*/ 200529 h 1493924"/>
            <a:gd name="connsiteX15" fmla="*/ 1182167 w 1214870"/>
            <a:gd name="connsiteY15" fmla="*/ 235371 h 1493924"/>
            <a:gd name="connsiteX16" fmla="*/ 1158040 w 1214870"/>
            <a:gd name="connsiteY16" fmla="*/ 250661 h 1493924"/>
            <a:gd name="connsiteX17" fmla="*/ 1127961 w 1214870"/>
            <a:gd name="connsiteY17" fmla="*/ 260687 h 1493924"/>
            <a:gd name="connsiteX18" fmla="*/ 1002632 w 1214870"/>
            <a:gd name="connsiteY18" fmla="*/ 250661 h 1493924"/>
            <a:gd name="connsiteX19" fmla="*/ 957513 w 1214870"/>
            <a:gd name="connsiteY19" fmla="*/ 255674 h 1493924"/>
            <a:gd name="connsiteX20" fmla="*/ 946547 w 1214870"/>
            <a:gd name="connsiteY20" fmla="*/ 268081 h 1493924"/>
            <a:gd name="connsiteX21" fmla="*/ 939146 w 1214870"/>
            <a:gd name="connsiteY21" fmla="*/ 285503 h 1493924"/>
            <a:gd name="connsiteX22" fmla="*/ 947487 w 1214870"/>
            <a:gd name="connsiteY22" fmla="*/ 300792 h 1493924"/>
            <a:gd name="connsiteX23" fmla="*/ 967540 w 1214870"/>
            <a:gd name="connsiteY23" fmla="*/ 325858 h 1493924"/>
            <a:gd name="connsiteX24" fmla="*/ 977566 w 1214870"/>
            <a:gd name="connsiteY24" fmla="*/ 340898 h 1493924"/>
            <a:gd name="connsiteX25" fmla="*/ 992606 w 1214870"/>
            <a:gd name="connsiteY25" fmla="*/ 345911 h 1493924"/>
            <a:gd name="connsiteX26" fmla="*/ 1002632 w 1214870"/>
            <a:gd name="connsiteY26" fmla="*/ 381003 h 1493924"/>
            <a:gd name="connsiteX27" fmla="*/ 1017202 w 1214870"/>
            <a:gd name="connsiteY27" fmla="*/ 391279 h 1493924"/>
            <a:gd name="connsiteX28" fmla="*/ 1027698 w 1214870"/>
            <a:gd name="connsiteY28" fmla="*/ 416095 h 1493924"/>
            <a:gd name="connsiteX29" fmla="*/ 1047046 w 1214870"/>
            <a:gd name="connsiteY29" fmla="*/ 419228 h 1493924"/>
            <a:gd name="connsiteX30" fmla="*/ 1062085 w 1214870"/>
            <a:gd name="connsiteY30" fmla="*/ 431636 h 1493924"/>
            <a:gd name="connsiteX31" fmla="*/ 1082373 w 1214870"/>
            <a:gd name="connsiteY31" fmla="*/ 454069 h 1493924"/>
            <a:gd name="connsiteX32" fmla="*/ 1117934 w 1214870"/>
            <a:gd name="connsiteY32" fmla="*/ 481266 h 1493924"/>
            <a:gd name="connsiteX33" fmla="*/ 1137987 w 1214870"/>
            <a:gd name="connsiteY33" fmla="*/ 501319 h 1493924"/>
            <a:gd name="connsiteX34" fmla="*/ 1175233 w 1214870"/>
            <a:gd name="connsiteY34" fmla="*/ 499940 h 1493924"/>
            <a:gd name="connsiteX35" fmla="*/ 1182636 w 1214870"/>
            <a:gd name="connsiteY35" fmla="*/ 502948 h 1493924"/>
            <a:gd name="connsiteX36" fmla="*/ 1174999 w 1214870"/>
            <a:gd name="connsiteY36" fmla="*/ 520118 h 1493924"/>
            <a:gd name="connsiteX37" fmla="*/ 1188629 w 1214870"/>
            <a:gd name="connsiteY37" fmla="*/ 517988 h 1493924"/>
            <a:gd name="connsiteX38" fmla="*/ 1186946 w 1214870"/>
            <a:gd name="connsiteY38" fmla="*/ 644821 h 1493924"/>
            <a:gd name="connsiteX39" fmla="*/ 1189569 w 1214870"/>
            <a:gd name="connsiteY39" fmla="*/ 688435 h 1493924"/>
            <a:gd name="connsiteX40" fmla="*/ 1169986 w 1214870"/>
            <a:gd name="connsiteY40" fmla="*/ 797345 h 1493924"/>
            <a:gd name="connsiteX41" fmla="*/ 1155181 w 1214870"/>
            <a:gd name="connsiteY41" fmla="*/ 917661 h 1493924"/>
            <a:gd name="connsiteX42" fmla="*/ 1143000 w 1214870"/>
            <a:gd name="connsiteY42" fmla="*/ 987595 h 1493924"/>
            <a:gd name="connsiteX43" fmla="*/ 1122948 w 1214870"/>
            <a:gd name="connsiteY43" fmla="*/ 1017674 h 1493924"/>
            <a:gd name="connsiteX44" fmla="*/ 1007645 w 1214870"/>
            <a:gd name="connsiteY44" fmla="*/ 1032713 h 1493924"/>
            <a:gd name="connsiteX45" fmla="*/ 992606 w 1214870"/>
            <a:gd name="connsiteY45" fmla="*/ 1037727 h 1493924"/>
            <a:gd name="connsiteX46" fmla="*/ 972553 w 1214870"/>
            <a:gd name="connsiteY46" fmla="*/ 1042740 h 1493924"/>
            <a:gd name="connsiteX47" fmla="*/ 986655 w 1214870"/>
            <a:gd name="connsiteY47" fmla="*/ 1060159 h 1493924"/>
            <a:gd name="connsiteX48" fmla="*/ 974473 w 1214870"/>
            <a:gd name="connsiteY48" fmla="*/ 1075450 h 1493924"/>
            <a:gd name="connsiteX49" fmla="*/ 974003 w 1214870"/>
            <a:gd name="connsiteY49" fmla="*/ 1100767 h 1493924"/>
            <a:gd name="connsiteX50" fmla="*/ 980935 w 1214870"/>
            <a:gd name="connsiteY50" fmla="*/ 1111045 h 1493924"/>
            <a:gd name="connsiteX51" fmla="*/ 979016 w 1214870"/>
            <a:gd name="connsiteY51" fmla="*/ 1131848 h 1493924"/>
            <a:gd name="connsiteX52" fmla="*/ 982110 w 1214870"/>
            <a:gd name="connsiteY52" fmla="*/ 1141625 h 1493924"/>
            <a:gd name="connsiteX53" fmla="*/ 997619 w 1214870"/>
            <a:gd name="connsiteY53" fmla="*/ 1156914 h 1493924"/>
            <a:gd name="connsiteX54" fmla="*/ 1044187 w 1214870"/>
            <a:gd name="connsiteY54" fmla="*/ 1177218 h 1493924"/>
            <a:gd name="connsiteX55" fmla="*/ 1064475 w 1214870"/>
            <a:gd name="connsiteY55" fmla="*/ 1221083 h 1493924"/>
            <a:gd name="connsiteX56" fmla="*/ 1074736 w 1214870"/>
            <a:gd name="connsiteY56" fmla="*/ 1233491 h 1493924"/>
            <a:gd name="connsiteX57" fmla="*/ 1079984 w 1214870"/>
            <a:gd name="connsiteY57" fmla="*/ 1243767 h 1493924"/>
            <a:gd name="connsiteX58" fmla="*/ 1100036 w 1214870"/>
            <a:gd name="connsiteY58" fmla="*/ 1268583 h 1493924"/>
            <a:gd name="connsiteX59" fmla="*/ 1114842 w 1214870"/>
            <a:gd name="connsiteY59" fmla="*/ 1281241 h 1493924"/>
            <a:gd name="connsiteX60" fmla="*/ 1152088 w 1214870"/>
            <a:gd name="connsiteY60" fmla="*/ 1301042 h 1493924"/>
            <a:gd name="connsiteX61" fmla="*/ 1166892 w 1214870"/>
            <a:gd name="connsiteY61" fmla="*/ 1316081 h 1493924"/>
            <a:gd name="connsiteX62" fmla="*/ 1187414 w 1214870"/>
            <a:gd name="connsiteY62" fmla="*/ 1340897 h 1493924"/>
            <a:gd name="connsiteX63" fmla="*/ 1178092 w 1214870"/>
            <a:gd name="connsiteY63" fmla="*/ 1353556 h 1493924"/>
            <a:gd name="connsiteX64" fmla="*/ 1197676 w 1214870"/>
            <a:gd name="connsiteY64" fmla="*/ 1361200 h 1493924"/>
            <a:gd name="connsiteX65" fmla="*/ 1214870 w 1214870"/>
            <a:gd name="connsiteY65" fmla="*/ 1391280 h 1493924"/>
            <a:gd name="connsiteX66" fmla="*/ 1203158 w 1214870"/>
            <a:gd name="connsiteY66" fmla="*/ 1408700 h 1493924"/>
            <a:gd name="connsiteX67" fmla="*/ 1017671 w 1214870"/>
            <a:gd name="connsiteY67" fmla="*/ 1423740 h 1493924"/>
            <a:gd name="connsiteX68" fmla="*/ 997619 w 1214870"/>
            <a:gd name="connsiteY68" fmla="*/ 1428753 h 1493924"/>
            <a:gd name="connsiteX69" fmla="*/ 967540 w 1214870"/>
            <a:gd name="connsiteY69" fmla="*/ 1463845 h 1493924"/>
            <a:gd name="connsiteX70" fmla="*/ 962527 w 1214870"/>
            <a:gd name="connsiteY70" fmla="*/ 1478885 h 1493924"/>
            <a:gd name="connsiteX71" fmla="*/ 937461 w 1214870"/>
            <a:gd name="connsiteY71" fmla="*/ 1493924 h 1493924"/>
            <a:gd name="connsiteX72" fmla="*/ 917408 w 1214870"/>
            <a:gd name="connsiteY72" fmla="*/ 1488911 h 1493924"/>
            <a:gd name="connsiteX73" fmla="*/ 902369 w 1214870"/>
            <a:gd name="connsiteY73" fmla="*/ 1478885 h 1493924"/>
            <a:gd name="connsiteX74" fmla="*/ 887329 w 1214870"/>
            <a:gd name="connsiteY74" fmla="*/ 1473871 h 1493924"/>
            <a:gd name="connsiteX75" fmla="*/ 877303 w 1214870"/>
            <a:gd name="connsiteY75" fmla="*/ 1458832 h 1493924"/>
            <a:gd name="connsiteX76" fmla="*/ 862263 w 1214870"/>
            <a:gd name="connsiteY76" fmla="*/ 1453819 h 1493924"/>
            <a:gd name="connsiteX77" fmla="*/ 857250 w 1214870"/>
            <a:gd name="connsiteY77" fmla="*/ 1438779 h 1493924"/>
            <a:gd name="connsiteX78" fmla="*/ 842211 w 1214870"/>
            <a:gd name="connsiteY78" fmla="*/ 1428753 h 1493924"/>
            <a:gd name="connsiteX79" fmla="*/ 837198 w 1214870"/>
            <a:gd name="connsiteY79" fmla="*/ 1413713 h 1493924"/>
            <a:gd name="connsiteX80" fmla="*/ 797092 w 1214870"/>
            <a:gd name="connsiteY80" fmla="*/ 1383635 h 1493924"/>
            <a:gd name="connsiteX81" fmla="*/ 772027 w 1214870"/>
            <a:gd name="connsiteY81" fmla="*/ 1363582 h 1493924"/>
            <a:gd name="connsiteX82" fmla="*/ 736934 w 1214870"/>
            <a:gd name="connsiteY82" fmla="*/ 1333503 h 1493924"/>
            <a:gd name="connsiteX83" fmla="*/ 721895 w 1214870"/>
            <a:gd name="connsiteY83" fmla="*/ 1328490 h 1493924"/>
            <a:gd name="connsiteX84" fmla="*/ 641684 w 1214870"/>
            <a:gd name="connsiteY84" fmla="*/ 1323477 h 1493924"/>
            <a:gd name="connsiteX85" fmla="*/ 626645 w 1214870"/>
            <a:gd name="connsiteY85" fmla="*/ 1333503 h 1493924"/>
            <a:gd name="connsiteX86" fmla="*/ 581527 w 1214870"/>
            <a:gd name="connsiteY86" fmla="*/ 1338516 h 1493924"/>
            <a:gd name="connsiteX87" fmla="*/ 561474 w 1214870"/>
            <a:gd name="connsiteY87" fmla="*/ 1343529 h 1493924"/>
            <a:gd name="connsiteX88" fmla="*/ 526382 w 1214870"/>
            <a:gd name="connsiteY88" fmla="*/ 1353556 h 1493924"/>
            <a:gd name="connsiteX89" fmla="*/ 491290 w 1214870"/>
            <a:gd name="connsiteY89" fmla="*/ 1358569 h 1493924"/>
            <a:gd name="connsiteX90" fmla="*/ 255671 w 1214870"/>
            <a:gd name="connsiteY90" fmla="*/ 1353556 h 1493924"/>
            <a:gd name="connsiteX91" fmla="*/ 250658 w 1214870"/>
            <a:gd name="connsiteY91" fmla="*/ 1338516 h 1493924"/>
            <a:gd name="connsiteX92" fmla="*/ 255671 w 1214870"/>
            <a:gd name="connsiteY92" fmla="*/ 1263319 h 1493924"/>
            <a:gd name="connsiteX93" fmla="*/ 260684 w 1214870"/>
            <a:gd name="connsiteY93" fmla="*/ 1233240 h 1493924"/>
            <a:gd name="connsiteX94" fmla="*/ 305803 w 1214870"/>
            <a:gd name="connsiteY94" fmla="*/ 1218200 h 1493924"/>
            <a:gd name="connsiteX95" fmla="*/ 320842 w 1214870"/>
            <a:gd name="connsiteY95" fmla="*/ 1213187 h 1493924"/>
            <a:gd name="connsiteX96" fmla="*/ 330869 w 1214870"/>
            <a:gd name="connsiteY96" fmla="*/ 1203161 h 1493924"/>
            <a:gd name="connsiteX97" fmla="*/ 350921 w 1214870"/>
            <a:gd name="connsiteY97" fmla="*/ 1173082 h 1493924"/>
            <a:gd name="connsiteX98" fmla="*/ 355934 w 1214870"/>
            <a:gd name="connsiteY98" fmla="*/ 1158042 h 1493924"/>
            <a:gd name="connsiteX99" fmla="*/ 340895 w 1214870"/>
            <a:gd name="connsiteY99" fmla="*/ 1148016 h 1493924"/>
            <a:gd name="connsiteX100" fmla="*/ 325856 w 1214870"/>
            <a:gd name="connsiteY100" fmla="*/ 1132977 h 1493924"/>
            <a:gd name="connsiteX101" fmla="*/ 295777 w 1214870"/>
            <a:gd name="connsiteY101" fmla="*/ 1122950 h 1493924"/>
            <a:gd name="connsiteX102" fmla="*/ 285750 w 1214870"/>
            <a:gd name="connsiteY102" fmla="*/ 1112924 h 1493924"/>
            <a:gd name="connsiteX103" fmla="*/ 265698 w 1214870"/>
            <a:gd name="connsiteY103" fmla="*/ 1067806 h 1493924"/>
            <a:gd name="connsiteX104" fmla="*/ 250658 w 1214870"/>
            <a:gd name="connsiteY104" fmla="*/ 1012661 h 1493924"/>
            <a:gd name="connsiteX105" fmla="*/ 235619 w 1214870"/>
            <a:gd name="connsiteY105" fmla="*/ 1007648 h 1493924"/>
            <a:gd name="connsiteX106" fmla="*/ 220579 w 1214870"/>
            <a:gd name="connsiteY106" fmla="*/ 997621 h 1493924"/>
            <a:gd name="connsiteX107" fmla="*/ 190500 w 1214870"/>
            <a:gd name="connsiteY107" fmla="*/ 987595 h 1493924"/>
            <a:gd name="connsiteX108" fmla="*/ 160421 w 1214870"/>
            <a:gd name="connsiteY108" fmla="*/ 972556 h 1493924"/>
            <a:gd name="connsiteX109" fmla="*/ 145382 w 1214870"/>
            <a:gd name="connsiteY109" fmla="*/ 962529 h 1493924"/>
            <a:gd name="connsiteX110" fmla="*/ 110290 w 1214870"/>
            <a:gd name="connsiteY110" fmla="*/ 952503 h 1493924"/>
            <a:gd name="connsiteX111" fmla="*/ 95250 w 1214870"/>
            <a:gd name="connsiteY111" fmla="*/ 947490 h 1493924"/>
            <a:gd name="connsiteX112" fmla="*/ 85224 w 1214870"/>
            <a:gd name="connsiteY112" fmla="*/ 932450 h 1493924"/>
            <a:gd name="connsiteX113" fmla="*/ 70184 w 1214870"/>
            <a:gd name="connsiteY113" fmla="*/ 922424 h 1493924"/>
            <a:gd name="connsiteX114" fmla="*/ 65171 w 1214870"/>
            <a:gd name="connsiteY114" fmla="*/ 907385 h 1493924"/>
            <a:gd name="connsiteX115" fmla="*/ 55145 w 1214870"/>
            <a:gd name="connsiteY115" fmla="*/ 897358 h 1493924"/>
            <a:gd name="connsiteX116" fmla="*/ 30079 w 1214870"/>
            <a:gd name="connsiteY116" fmla="*/ 877306 h 1493924"/>
            <a:gd name="connsiteX117" fmla="*/ 10027 w 1214870"/>
            <a:gd name="connsiteY117" fmla="*/ 862266 h 1493924"/>
            <a:gd name="connsiteX118" fmla="*/ 0 w 1214870"/>
            <a:gd name="connsiteY118" fmla="*/ 852240 h 1493924"/>
            <a:gd name="connsiteX119" fmla="*/ 10027 w 1214870"/>
            <a:gd name="connsiteY119" fmla="*/ 842213 h 1493924"/>
            <a:gd name="connsiteX120" fmla="*/ 45119 w 1214870"/>
            <a:gd name="connsiteY120" fmla="*/ 847227 h 1493924"/>
            <a:gd name="connsiteX121" fmla="*/ 55145 w 1214870"/>
            <a:gd name="connsiteY121" fmla="*/ 862266 h 1493924"/>
            <a:gd name="connsiteX122" fmla="*/ 70184 w 1214870"/>
            <a:gd name="connsiteY122" fmla="*/ 877306 h 1493924"/>
            <a:gd name="connsiteX123" fmla="*/ 120316 w 1214870"/>
            <a:gd name="connsiteY123" fmla="*/ 887332 h 1493924"/>
            <a:gd name="connsiteX124" fmla="*/ 310816 w 1214870"/>
            <a:gd name="connsiteY124" fmla="*/ 877306 h 1493924"/>
            <a:gd name="connsiteX125" fmla="*/ 345908 w 1214870"/>
            <a:gd name="connsiteY125" fmla="*/ 867279 h 1493924"/>
            <a:gd name="connsiteX126" fmla="*/ 381000 w 1214870"/>
            <a:gd name="connsiteY126" fmla="*/ 862266 h 1493924"/>
            <a:gd name="connsiteX127" fmla="*/ 411079 w 1214870"/>
            <a:gd name="connsiteY127" fmla="*/ 852240 h 1493924"/>
            <a:gd name="connsiteX128" fmla="*/ 426119 w 1214870"/>
            <a:gd name="connsiteY128" fmla="*/ 847227 h 1493924"/>
            <a:gd name="connsiteX129" fmla="*/ 451184 w 1214870"/>
            <a:gd name="connsiteY129" fmla="*/ 842213 h 1493924"/>
            <a:gd name="connsiteX130" fmla="*/ 461211 w 1214870"/>
            <a:gd name="connsiteY130" fmla="*/ 832187 h 1493924"/>
            <a:gd name="connsiteX131" fmla="*/ 476250 w 1214870"/>
            <a:gd name="connsiteY131" fmla="*/ 827174 h 1493924"/>
            <a:gd name="connsiteX132" fmla="*/ 486277 w 1214870"/>
            <a:gd name="connsiteY132" fmla="*/ 797095 h 1493924"/>
            <a:gd name="connsiteX133" fmla="*/ 476250 w 1214870"/>
            <a:gd name="connsiteY133" fmla="*/ 782056 h 1493924"/>
            <a:gd name="connsiteX134" fmla="*/ 476250 w 1214870"/>
            <a:gd name="connsiteY134" fmla="*/ 686806 h 1493924"/>
            <a:gd name="connsiteX135" fmla="*/ 486277 w 1214870"/>
            <a:gd name="connsiteY135" fmla="*/ 676779 h 1493924"/>
            <a:gd name="connsiteX136" fmla="*/ 526382 w 1214870"/>
            <a:gd name="connsiteY136" fmla="*/ 661740 h 1493924"/>
            <a:gd name="connsiteX137" fmla="*/ 536408 w 1214870"/>
            <a:gd name="connsiteY137" fmla="*/ 646700 h 1493924"/>
            <a:gd name="connsiteX138" fmla="*/ 541421 w 1214870"/>
            <a:gd name="connsiteY138" fmla="*/ 631661 h 1493924"/>
            <a:gd name="connsiteX139" fmla="*/ 556461 w 1214870"/>
            <a:gd name="connsiteY139" fmla="*/ 626648 h 1493924"/>
            <a:gd name="connsiteX140" fmla="*/ 631658 w 1214870"/>
            <a:gd name="connsiteY140" fmla="*/ 626648 h 1493924"/>
            <a:gd name="connsiteX141" fmla="*/ 636671 w 1214870"/>
            <a:gd name="connsiteY141" fmla="*/ 611608 h 1493924"/>
            <a:gd name="connsiteX142" fmla="*/ 646698 w 1214870"/>
            <a:gd name="connsiteY142" fmla="*/ 601582 h 1493924"/>
            <a:gd name="connsiteX143" fmla="*/ 651711 w 1214870"/>
            <a:gd name="connsiteY143" fmla="*/ 566490 h 1493924"/>
            <a:gd name="connsiteX144" fmla="*/ 641684 w 1214870"/>
            <a:gd name="connsiteY144" fmla="*/ 531398 h 1493924"/>
            <a:gd name="connsiteX145" fmla="*/ 631658 w 1214870"/>
            <a:gd name="connsiteY145" fmla="*/ 516358 h 1493924"/>
            <a:gd name="connsiteX146" fmla="*/ 626645 w 1214870"/>
            <a:gd name="connsiteY146" fmla="*/ 501319 h 1493924"/>
            <a:gd name="connsiteX147" fmla="*/ 641684 w 1214870"/>
            <a:gd name="connsiteY147" fmla="*/ 461213 h 1493924"/>
            <a:gd name="connsiteX148" fmla="*/ 656724 w 1214870"/>
            <a:gd name="connsiteY148" fmla="*/ 456200 h 1493924"/>
            <a:gd name="connsiteX149" fmla="*/ 671763 w 1214870"/>
            <a:gd name="connsiteY149" fmla="*/ 441161 h 1493924"/>
            <a:gd name="connsiteX150" fmla="*/ 651711 w 1214870"/>
            <a:gd name="connsiteY150" fmla="*/ 406069 h 1493924"/>
            <a:gd name="connsiteX151" fmla="*/ 626645 w 1214870"/>
            <a:gd name="connsiteY151" fmla="*/ 386016 h 1493924"/>
            <a:gd name="connsiteX152" fmla="*/ 616619 w 1214870"/>
            <a:gd name="connsiteY152" fmla="*/ 370977 h 1493924"/>
            <a:gd name="connsiteX153" fmla="*/ 631658 w 1214870"/>
            <a:gd name="connsiteY153" fmla="*/ 365963 h 1493924"/>
            <a:gd name="connsiteX154" fmla="*/ 656724 w 1214870"/>
            <a:gd name="connsiteY154" fmla="*/ 360950 h 1493924"/>
            <a:gd name="connsiteX155" fmla="*/ 686803 w 1214870"/>
            <a:gd name="connsiteY155" fmla="*/ 350924 h 1493924"/>
            <a:gd name="connsiteX156" fmla="*/ 681790 w 1214870"/>
            <a:gd name="connsiteY156" fmla="*/ 320845 h 1493924"/>
            <a:gd name="connsiteX157" fmla="*/ 666750 w 1214870"/>
            <a:gd name="connsiteY157" fmla="*/ 310819 h 1493924"/>
            <a:gd name="connsiteX158" fmla="*/ 661737 w 1214870"/>
            <a:gd name="connsiteY158" fmla="*/ 295779 h 1493924"/>
            <a:gd name="connsiteX159" fmla="*/ 666750 w 1214870"/>
            <a:gd name="connsiteY159" fmla="*/ 265700 h 1493924"/>
            <a:gd name="connsiteX160" fmla="*/ 666750 w 1214870"/>
            <a:gd name="connsiteY160" fmla="*/ 215569 h 1493924"/>
            <a:gd name="connsiteX161" fmla="*/ 656724 w 1214870"/>
            <a:gd name="connsiteY161" fmla="*/ 205542 h 1493924"/>
            <a:gd name="connsiteX162" fmla="*/ 646698 w 1214870"/>
            <a:gd name="connsiteY162" fmla="*/ 190503 h 1493924"/>
            <a:gd name="connsiteX163" fmla="*/ 636671 w 1214870"/>
            <a:gd name="connsiteY163" fmla="*/ 180477 h 1493924"/>
            <a:gd name="connsiteX164" fmla="*/ 616619 w 1214870"/>
            <a:gd name="connsiteY164" fmla="*/ 145385 h 1493924"/>
            <a:gd name="connsiteX165" fmla="*/ 606592 w 1214870"/>
            <a:gd name="connsiteY165" fmla="*/ 135358 h 1493924"/>
            <a:gd name="connsiteX166" fmla="*/ 596566 w 1214870"/>
            <a:gd name="connsiteY166" fmla="*/ 120319 h 1493924"/>
            <a:gd name="connsiteX167" fmla="*/ 601579 w 1214870"/>
            <a:gd name="connsiteY167" fmla="*/ 90240 h 1493924"/>
            <a:gd name="connsiteX168" fmla="*/ 616619 w 1214870"/>
            <a:gd name="connsiteY168" fmla="*/ 85227 h 1493924"/>
            <a:gd name="connsiteX169" fmla="*/ 661737 w 1214870"/>
            <a:gd name="connsiteY169" fmla="*/ 80213 h 1493924"/>
            <a:gd name="connsiteX170" fmla="*/ 691816 w 1214870"/>
            <a:gd name="connsiteY170" fmla="*/ 70187 h 1493924"/>
            <a:gd name="connsiteX171" fmla="*/ 706856 w 1214870"/>
            <a:gd name="connsiteY171" fmla="*/ 60161 h 1493924"/>
            <a:gd name="connsiteX172" fmla="*/ 756987 w 1214870"/>
            <a:gd name="connsiteY172" fmla="*/ 45121 h 1493924"/>
            <a:gd name="connsiteX173" fmla="*/ 787066 w 1214870"/>
            <a:gd name="connsiteY173" fmla="*/ 25069 h 1493924"/>
            <a:gd name="connsiteX174" fmla="*/ 797092 w 1214870"/>
            <a:gd name="connsiteY174" fmla="*/ 10029 h 1493924"/>
            <a:gd name="connsiteX175" fmla="*/ 852237 w 1214870"/>
            <a:gd name="connsiteY175" fmla="*/ 3 h 1493924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55145 w 1214870"/>
            <a:gd name="connsiteY121" fmla="*/ 862263 h 1493921"/>
            <a:gd name="connsiteX122" fmla="*/ 70184 w 1214870"/>
            <a:gd name="connsiteY122" fmla="*/ 877303 h 1493921"/>
            <a:gd name="connsiteX123" fmla="*/ 120316 w 1214870"/>
            <a:gd name="connsiteY123" fmla="*/ 887329 h 1493921"/>
            <a:gd name="connsiteX124" fmla="*/ 310816 w 1214870"/>
            <a:gd name="connsiteY124" fmla="*/ 87730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1579 w 1214870"/>
            <a:gd name="connsiteY167" fmla="*/ 90237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87066 w 1214870"/>
            <a:gd name="connsiteY173" fmla="*/ 25066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55145 w 1214870"/>
            <a:gd name="connsiteY121" fmla="*/ 862263 h 1493921"/>
            <a:gd name="connsiteX122" fmla="*/ 70184 w 1214870"/>
            <a:gd name="connsiteY122" fmla="*/ 877303 h 1493921"/>
            <a:gd name="connsiteX123" fmla="*/ 120316 w 1214870"/>
            <a:gd name="connsiteY123" fmla="*/ 887329 h 1493921"/>
            <a:gd name="connsiteX124" fmla="*/ 310816 w 1214870"/>
            <a:gd name="connsiteY124" fmla="*/ 87730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1579 w 1214870"/>
            <a:gd name="connsiteY167" fmla="*/ 90237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55145 w 1214870"/>
            <a:gd name="connsiteY121" fmla="*/ 862263 h 1493921"/>
            <a:gd name="connsiteX122" fmla="*/ 70184 w 1214870"/>
            <a:gd name="connsiteY122" fmla="*/ 877303 h 1493921"/>
            <a:gd name="connsiteX123" fmla="*/ 120316 w 1214870"/>
            <a:gd name="connsiteY123" fmla="*/ 887329 h 1493921"/>
            <a:gd name="connsiteX124" fmla="*/ 310816 w 1214870"/>
            <a:gd name="connsiteY124" fmla="*/ 87730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55145 w 1214870"/>
            <a:gd name="connsiteY121" fmla="*/ 862263 h 1493921"/>
            <a:gd name="connsiteX122" fmla="*/ 70184 w 1214870"/>
            <a:gd name="connsiteY122" fmla="*/ 877303 h 1493921"/>
            <a:gd name="connsiteX123" fmla="*/ 120316 w 1214870"/>
            <a:gd name="connsiteY123" fmla="*/ 88732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55145 w 1214870"/>
            <a:gd name="connsiteY121" fmla="*/ 862263 h 1493921"/>
            <a:gd name="connsiteX122" fmla="*/ 70184 w 1214870"/>
            <a:gd name="connsiteY122" fmla="*/ 877303 h 1493921"/>
            <a:gd name="connsiteX123" fmla="*/ 175268 w 1214870"/>
            <a:gd name="connsiteY123" fmla="*/ 899236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55145 w 1214870"/>
            <a:gd name="connsiteY121" fmla="*/ 862263 h 1493921"/>
            <a:gd name="connsiteX122" fmla="*/ 70184 w 1214870"/>
            <a:gd name="connsiteY122" fmla="*/ 877303 h 1493921"/>
            <a:gd name="connsiteX123" fmla="*/ 175268 w 1214870"/>
            <a:gd name="connsiteY123" fmla="*/ 899236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55145 w 1214870"/>
            <a:gd name="connsiteY121" fmla="*/ 862263 h 1493921"/>
            <a:gd name="connsiteX122" fmla="*/ 70184 w 1214870"/>
            <a:gd name="connsiteY122" fmla="*/ 877303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55145 w 1214870"/>
            <a:gd name="connsiteY121" fmla="*/ 862263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55145 w 1214870"/>
            <a:gd name="connsiteY121" fmla="*/ 862263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45119 w 1214870"/>
            <a:gd name="connsiteY120" fmla="*/ 847224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56724 w 1214870"/>
            <a:gd name="connsiteY154" fmla="*/ 360947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47167 w 1214870"/>
            <a:gd name="connsiteY154" fmla="*/ 353803 h 1493921"/>
            <a:gd name="connsiteX155" fmla="*/ 686803 w 1214870"/>
            <a:gd name="connsiteY155" fmla="*/ 350921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31658 w 1214870"/>
            <a:gd name="connsiteY153" fmla="*/ 365960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71763 w 1214870"/>
            <a:gd name="connsiteY149" fmla="*/ 441158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56724 w 1214870"/>
            <a:gd name="connsiteY148" fmla="*/ 456197 h 1493921"/>
            <a:gd name="connsiteX149" fmla="*/ 655040 w 1214870"/>
            <a:gd name="connsiteY149" fmla="*/ 436395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42390 w 1214870"/>
            <a:gd name="connsiteY148" fmla="*/ 458579 h 1493921"/>
            <a:gd name="connsiteX149" fmla="*/ 655040 w 1214870"/>
            <a:gd name="connsiteY149" fmla="*/ 436395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35223 w 1214870"/>
            <a:gd name="connsiteY148" fmla="*/ 456198 h 1493921"/>
            <a:gd name="connsiteX149" fmla="*/ 655040 w 1214870"/>
            <a:gd name="connsiteY149" fmla="*/ 436395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41684 w 1214870"/>
            <a:gd name="connsiteY147" fmla="*/ 461210 h 1493921"/>
            <a:gd name="connsiteX148" fmla="*/ 623277 w 1214870"/>
            <a:gd name="connsiteY148" fmla="*/ 460961 h 1493921"/>
            <a:gd name="connsiteX149" fmla="*/ 655040 w 1214870"/>
            <a:gd name="connsiteY149" fmla="*/ 436395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31658 w 1214870"/>
            <a:gd name="connsiteY145" fmla="*/ 516355 h 1493921"/>
            <a:gd name="connsiteX146" fmla="*/ 626645 w 1214870"/>
            <a:gd name="connsiteY146" fmla="*/ 501316 h 1493921"/>
            <a:gd name="connsiteX147" fmla="*/ 624959 w 1214870"/>
            <a:gd name="connsiteY147" fmla="*/ 482642 h 1493921"/>
            <a:gd name="connsiteX148" fmla="*/ 623277 w 1214870"/>
            <a:gd name="connsiteY148" fmla="*/ 460961 h 1493921"/>
            <a:gd name="connsiteX149" fmla="*/ 655040 w 1214870"/>
            <a:gd name="connsiteY149" fmla="*/ 436395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41684 w 1214870"/>
            <a:gd name="connsiteY144" fmla="*/ 531395 h 1493921"/>
            <a:gd name="connsiteX145" fmla="*/ 624491 w 1214870"/>
            <a:gd name="connsiteY145" fmla="*/ 521117 h 1493921"/>
            <a:gd name="connsiteX146" fmla="*/ 626645 w 1214870"/>
            <a:gd name="connsiteY146" fmla="*/ 501316 h 1493921"/>
            <a:gd name="connsiteX147" fmla="*/ 624959 w 1214870"/>
            <a:gd name="connsiteY147" fmla="*/ 482642 h 1493921"/>
            <a:gd name="connsiteX148" fmla="*/ 623277 w 1214870"/>
            <a:gd name="connsiteY148" fmla="*/ 460961 h 1493921"/>
            <a:gd name="connsiteX149" fmla="*/ 655040 w 1214870"/>
            <a:gd name="connsiteY149" fmla="*/ 436395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39295 w 1214870"/>
            <a:gd name="connsiteY144" fmla="*/ 540920 h 1493921"/>
            <a:gd name="connsiteX145" fmla="*/ 624491 w 1214870"/>
            <a:gd name="connsiteY145" fmla="*/ 521117 h 1493921"/>
            <a:gd name="connsiteX146" fmla="*/ 626645 w 1214870"/>
            <a:gd name="connsiteY146" fmla="*/ 501316 h 1493921"/>
            <a:gd name="connsiteX147" fmla="*/ 624959 w 1214870"/>
            <a:gd name="connsiteY147" fmla="*/ 482642 h 1493921"/>
            <a:gd name="connsiteX148" fmla="*/ 623277 w 1214870"/>
            <a:gd name="connsiteY148" fmla="*/ 460961 h 1493921"/>
            <a:gd name="connsiteX149" fmla="*/ 655040 w 1214870"/>
            <a:gd name="connsiteY149" fmla="*/ 436395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91816 w 1214870"/>
            <a:gd name="connsiteY170" fmla="*/ 70184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39295 w 1214870"/>
            <a:gd name="connsiteY144" fmla="*/ 540920 h 1493921"/>
            <a:gd name="connsiteX145" fmla="*/ 624491 w 1214870"/>
            <a:gd name="connsiteY145" fmla="*/ 521117 h 1493921"/>
            <a:gd name="connsiteX146" fmla="*/ 626645 w 1214870"/>
            <a:gd name="connsiteY146" fmla="*/ 501316 h 1493921"/>
            <a:gd name="connsiteX147" fmla="*/ 624959 w 1214870"/>
            <a:gd name="connsiteY147" fmla="*/ 482642 h 1493921"/>
            <a:gd name="connsiteX148" fmla="*/ 623277 w 1214870"/>
            <a:gd name="connsiteY148" fmla="*/ 460961 h 1493921"/>
            <a:gd name="connsiteX149" fmla="*/ 655040 w 1214870"/>
            <a:gd name="connsiteY149" fmla="*/ 436395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84648 w 1214870"/>
            <a:gd name="connsiteY170" fmla="*/ 63040 h 1493921"/>
            <a:gd name="connsiteX171" fmla="*/ 706856 w 1214870"/>
            <a:gd name="connsiteY171" fmla="*/ 60158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0 h 1493921"/>
            <a:gd name="connsiteX1" fmla="*/ 897825 w 1214870"/>
            <a:gd name="connsiteY1" fmla="*/ 10779 h 1493921"/>
            <a:gd name="connsiteX2" fmla="*/ 922421 w 1214870"/>
            <a:gd name="connsiteY2" fmla="*/ 18423 h 1493921"/>
            <a:gd name="connsiteX3" fmla="*/ 942474 w 1214870"/>
            <a:gd name="connsiteY3" fmla="*/ 28952 h 1493921"/>
            <a:gd name="connsiteX4" fmla="*/ 957513 w 1214870"/>
            <a:gd name="connsiteY4" fmla="*/ 38727 h 1493921"/>
            <a:gd name="connsiteX5" fmla="*/ 965152 w 1214870"/>
            <a:gd name="connsiteY5" fmla="*/ 46371 h 1493921"/>
            <a:gd name="connsiteX6" fmla="*/ 994995 w 1214870"/>
            <a:gd name="connsiteY6" fmla="*/ 73568 h 1493921"/>
            <a:gd name="connsiteX7" fmla="*/ 1015047 w 1214870"/>
            <a:gd name="connsiteY7" fmla="*/ 98634 h 1493921"/>
            <a:gd name="connsiteX8" fmla="*/ 1039644 w 1214870"/>
            <a:gd name="connsiteY8" fmla="*/ 111041 h 1493921"/>
            <a:gd name="connsiteX9" fmla="*/ 1097882 w 1214870"/>
            <a:gd name="connsiteY9" fmla="*/ 130342 h 1493921"/>
            <a:gd name="connsiteX10" fmla="*/ 1112921 w 1214870"/>
            <a:gd name="connsiteY10" fmla="*/ 135355 h 1493921"/>
            <a:gd name="connsiteX11" fmla="*/ 1168066 w 1214870"/>
            <a:gd name="connsiteY11" fmla="*/ 145382 h 1493921"/>
            <a:gd name="connsiteX12" fmla="*/ 1183106 w 1214870"/>
            <a:gd name="connsiteY12" fmla="*/ 150395 h 1493921"/>
            <a:gd name="connsiteX13" fmla="*/ 1206763 w 1214870"/>
            <a:gd name="connsiteY13" fmla="*/ 158541 h 1493921"/>
            <a:gd name="connsiteX14" fmla="*/ 1194582 w 1214870"/>
            <a:gd name="connsiteY14" fmla="*/ 200526 h 1493921"/>
            <a:gd name="connsiteX15" fmla="*/ 1182167 w 1214870"/>
            <a:gd name="connsiteY15" fmla="*/ 235368 h 1493921"/>
            <a:gd name="connsiteX16" fmla="*/ 1158040 w 1214870"/>
            <a:gd name="connsiteY16" fmla="*/ 250658 h 1493921"/>
            <a:gd name="connsiteX17" fmla="*/ 1127961 w 1214870"/>
            <a:gd name="connsiteY17" fmla="*/ 260684 h 1493921"/>
            <a:gd name="connsiteX18" fmla="*/ 1002632 w 1214870"/>
            <a:gd name="connsiteY18" fmla="*/ 250658 h 1493921"/>
            <a:gd name="connsiteX19" fmla="*/ 957513 w 1214870"/>
            <a:gd name="connsiteY19" fmla="*/ 255671 h 1493921"/>
            <a:gd name="connsiteX20" fmla="*/ 946547 w 1214870"/>
            <a:gd name="connsiteY20" fmla="*/ 268078 h 1493921"/>
            <a:gd name="connsiteX21" fmla="*/ 939146 w 1214870"/>
            <a:gd name="connsiteY21" fmla="*/ 285500 h 1493921"/>
            <a:gd name="connsiteX22" fmla="*/ 947487 w 1214870"/>
            <a:gd name="connsiteY22" fmla="*/ 300789 h 1493921"/>
            <a:gd name="connsiteX23" fmla="*/ 967540 w 1214870"/>
            <a:gd name="connsiteY23" fmla="*/ 325855 h 1493921"/>
            <a:gd name="connsiteX24" fmla="*/ 977566 w 1214870"/>
            <a:gd name="connsiteY24" fmla="*/ 340895 h 1493921"/>
            <a:gd name="connsiteX25" fmla="*/ 992606 w 1214870"/>
            <a:gd name="connsiteY25" fmla="*/ 345908 h 1493921"/>
            <a:gd name="connsiteX26" fmla="*/ 1002632 w 1214870"/>
            <a:gd name="connsiteY26" fmla="*/ 381000 h 1493921"/>
            <a:gd name="connsiteX27" fmla="*/ 1017202 w 1214870"/>
            <a:gd name="connsiteY27" fmla="*/ 391276 h 1493921"/>
            <a:gd name="connsiteX28" fmla="*/ 1027698 w 1214870"/>
            <a:gd name="connsiteY28" fmla="*/ 416092 h 1493921"/>
            <a:gd name="connsiteX29" fmla="*/ 1047046 w 1214870"/>
            <a:gd name="connsiteY29" fmla="*/ 419225 h 1493921"/>
            <a:gd name="connsiteX30" fmla="*/ 1062085 w 1214870"/>
            <a:gd name="connsiteY30" fmla="*/ 431633 h 1493921"/>
            <a:gd name="connsiteX31" fmla="*/ 1082373 w 1214870"/>
            <a:gd name="connsiteY31" fmla="*/ 454066 h 1493921"/>
            <a:gd name="connsiteX32" fmla="*/ 1117934 w 1214870"/>
            <a:gd name="connsiteY32" fmla="*/ 481263 h 1493921"/>
            <a:gd name="connsiteX33" fmla="*/ 1137987 w 1214870"/>
            <a:gd name="connsiteY33" fmla="*/ 501316 h 1493921"/>
            <a:gd name="connsiteX34" fmla="*/ 1175233 w 1214870"/>
            <a:gd name="connsiteY34" fmla="*/ 499937 h 1493921"/>
            <a:gd name="connsiteX35" fmla="*/ 1182636 w 1214870"/>
            <a:gd name="connsiteY35" fmla="*/ 502945 h 1493921"/>
            <a:gd name="connsiteX36" fmla="*/ 1174999 w 1214870"/>
            <a:gd name="connsiteY36" fmla="*/ 520115 h 1493921"/>
            <a:gd name="connsiteX37" fmla="*/ 1188629 w 1214870"/>
            <a:gd name="connsiteY37" fmla="*/ 517985 h 1493921"/>
            <a:gd name="connsiteX38" fmla="*/ 1186946 w 1214870"/>
            <a:gd name="connsiteY38" fmla="*/ 644818 h 1493921"/>
            <a:gd name="connsiteX39" fmla="*/ 1189569 w 1214870"/>
            <a:gd name="connsiteY39" fmla="*/ 688432 h 1493921"/>
            <a:gd name="connsiteX40" fmla="*/ 1169986 w 1214870"/>
            <a:gd name="connsiteY40" fmla="*/ 797342 h 1493921"/>
            <a:gd name="connsiteX41" fmla="*/ 1155181 w 1214870"/>
            <a:gd name="connsiteY41" fmla="*/ 917658 h 1493921"/>
            <a:gd name="connsiteX42" fmla="*/ 1143000 w 1214870"/>
            <a:gd name="connsiteY42" fmla="*/ 987592 h 1493921"/>
            <a:gd name="connsiteX43" fmla="*/ 1122948 w 1214870"/>
            <a:gd name="connsiteY43" fmla="*/ 1017671 h 1493921"/>
            <a:gd name="connsiteX44" fmla="*/ 1007645 w 1214870"/>
            <a:gd name="connsiteY44" fmla="*/ 1032710 h 1493921"/>
            <a:gd name="connsiteX45" fmla="*/ 992606 w 1214870"/>
            <a:gd name="connsiteY45" fmla="*/ 1037724 h 1493921"/>
            <a:gd name="connsiteX46" fmla="*/ 972553 w 1214870"/>
            <a:gd name="connsiteY46" fmla="*/ 1042737 h 1493921"/>
            <a:gd name="connsiteX47" fmla="*/ 986655 w 1214870"/>
            <a:gd name="connsiteY47" fmla="*/ 1060156 h 1493921"/>
            <a:gd name="connsiteX48" fmla="*/ 974473 w 1214870"/>
            <a:gd name="connsiteY48" fmla="*/ 1075447 h 1493921"/>
            <a:gd name="connsiteX49" fmla="*/ 974003 w 1214870"/>
            <a:gd name="connsiteY49" fmla="*/ 1100764 h 1493921"/>
            <a:gd name="connsiteX50" fmla="*/ 980935 w 1214870"/>
            <a:gd name="connsiteY50" fmla="*/ 1111042 h 1493921"/>
            <a:gd name="connsiteX51" fmla="*/ 979016 w 1214870"/>
            <a:gd name="connsiteY51" fmla="*/ 1131845 h 1493921"/>
            <a:gd name="connsiteX52" fmla="*/ 982110 w 1214870"/>
            <a:gd name="connsiteY52" fmla="*/ 1141622 h 1493921"/>
            <a:gd name="connsiteX53" fmla="*/ 997619 w 1214870"/>
            <a:gd name="connsiteY53" fmla="*/ 1156911 h 1493921"/>
            <a:gd name="connsiteX54" fmla="*/ 1044187 w 1214870"/>
            <a:gd name="connsiteY54" fmla="*/ 1177215 h 1493921"/>
            <a:gd name="connsiteX55" fmla="*/ 1064475 w 1214870"/>
            <a:gd name="connsiteY55" fmla="*/ 1221080 h 1493921"/>
            <a:gd name="connsiteX56" fmla="*/ 1074736 w 1214870"/>
            <a:gd name="connsiteY56" fmla="*/ 1233488 h 1493921"/>
            <a:gd name="connsiteX57" fmla="*/ 1079984 w 1214870"/>
            <a:gd name="connsiteY57" fmla="*/ 1243764 h 1493921"/>
            <a:gd name="connsiteX58" fmla="*/ 1100036 w 1214870"/>
            <a:gd name="connsiteY58" fmla="*/ 1268580 h 1493921"/>
            <a:gd name="connsiteX59" fmla="*/ 1114842 w 1214870"/>
            <a:gd name="connsiteY59" fmla="*/ 1281238 h 1493921"/>
            <a:gd name="connsiteX60" fmla="*/ 1152088 w 1214870"/>
            <a:gd name="connsiteY60" fmla="*/ 1301039 h 1493921"/>
            <a:gd name="connsiteX61" fmla="*/ 1166892 w 1214870"/>
            <a:gd name="connsiteY61" fmla="*/ 1316078 h 1493921"/>
            <a:gd name="connsiteX62" fmla="*/ 1187414 w 1214870"/>
            <a:gd name="connsiteY62" fmla="*/ 1340894 h 1493921"/>
            <a:gd name="connsiteX63" fmla="*/ 1178092 w 1214870"/>
            <a:gd name="connsiteY63" fmla="*/ 1353553 h 1493921"/>
            <a:gd name="connsiteX64" fmla="*/ 1197676 w 1214870"/>
            <a:gd name="connsiteY64" fmla="*/ 1361197 h 1493921"/>
            <a:gd name="connsiteX65" fmla="*/ 1214870 w 1214870"/>
            <a:gd name="connsiteY65" fmla="*/ 1391277 h 1493921"/>
            <a:gd name="connsiteX66" fmla="*/ 1203158 w 1214870"/>
            <a:gd name="connsiteY66" fmla="*/ 1408697 h 1493921"/>
            <a:gd name="connsiteX67" fmla="*/ 1017671 w 1214870"/>
            <a:gd name="connsiteY67" fmla="*/ 1423737 h 1493921"/>
            <a:gd name="connsiteX68" fmla="*/ 997619 w 1214870"/>
            <a:gd name="connsiteY68" fmla="*/ 1428750 h 1493921"/>
            <a:gd name="connsiteX69" fmla="*/ 967540 w 1214870"/>
            <a:gd name="connsiteY69" fmla="*/ 1463842 h 1493921"/>
            <a:gd name="connsiteX70" fmla="*/ 962527 w 1214870"/>
            <a:gd name="connsiteY70" fmla="*/ 1478882 h 1493921"/>
            <a:gd name="connsiteX71" fmla="*/ 937461 w 1214870"/>
            <a:gd name="connsiteY71" fmla="*/ 1493921 h 1493921"/>
            <a:gd name="connsiteX72" fmla="*/ 917408 w 1214870"/>
            <a:gd name="connsiteY72" fmla="*/ 1488908 h 1493921"/>
            <a:gd name="connsiteX73" fmla="*/ 902369 w 1214870"/>
            <a:gd name="connsiteY73" fmla="*/ 1478882 h 1493921"/>
            <a:gd name="connsiteX74" fmla="*/ 887329 w 1214870"/>
            <a:gd name="connsiteY74" fmla="*/ 1473868 h 1493921"/>
            <a:gd name="connsiteX75" fmla="*/ 877303 w 1214870"/>
            <a:gd name="connsiteY75" fmla="*/ 1458829 h 1493921"/>
            <a:gd name="connsiteX76" fmla="*/ 862263 w 1214870"/>
            <a:gd name="connsiteY76" fmla="*/ 1453816 h 1493921"/>
            <a:gd name="connsiteX77" fmla="*/ 857250 w 1214870"/>
            <a:gd name="connsiteY77" fmla="*/ 1438776 h 1493921"/>
            <a:gd name="connsiteX78" fmla="*/ 842211 w 1214870"/>
            <a:gd name="connsiteY78" fmla="*/ 1428750 h 1493921"/>
            <a:gd name="connsiteX79" fmla="*/ 837198 w 1214870"/>
            <a:gd name="connsiteY79" fmla="*/ 1413710 h 1493921"/>
            <a:gd name="connsiteX80" fmla="*/ 797092 w 1214870"/>
            <a:gd name="connsiteY80" fmla="*/ 1383632 h 1493921"/>
            <a:gd name="connsiteX81" fmla="*/ 772027 w 1214870"/>
            <a:gd name="connsiteY81" fmla="*/ 1363579 h 1493921"/>
            <a:gd name="connsiteX82" fmla="*/ 736934 w 1214870"/>
            <a:gd name="connsiteY82" fmla="*/ 1333500 h 1493921"/>
            <a:gd name="connsiteX83" fmla="*/ 721895 w 1214870"/>
            <a:gd name="connsiteY83" fmla="*/ 1328487 h 1493921"/>
            <a:gd name="connsiteX84" fmla="*/ 641684 w 1214870"/>
            <a:gd name="connsiteY84" fmla="*/ 1323474 h 1493921"/>
            <a:gd name="connsiteX85" fmla="*/ 626645 w 1214870"/>
            <a:gd name="connsiteY85" fmla="*/ 1333500 h 1493921"/>
            <a:gd name="connsiteX86" fmla="*/ 581527 w 1214870"/>
            <a:gd name="connsiteY86" fmla="*/ 1338513 h 1493921"/>
            <a:gd name="connsiteX87" fmla="*/ 561474 w 1214870"/>
            <a:gd name="connsiteY87" fmla="*/ 1343526 h 1493921"/>
            <a:gd name="connsiteX88" fmla="*/ 526382 w 1214870"/>
            <a:gd name="connsiteY88" fmla="*/ 1353553 h 1493921"/>
            <a:gd name="connsiteX89" fmla="*/ 491290 w 1214870"/>
            <a:gd name="connsiteY89" fmla="*/ 1358566 h 1493921"/>
            <a:gd name="connsiteX90" fmla="*/ 255671 w 1214870"/>
            <a:gd name="connsiteY90" fmla="*/ 1353553 h 1493921"/>
            <a:gd name="connsiteX91" fmla="*/ 250658 w 1214870"/>
            <a:gd name="connsiteY91" fmla="*/ 1338513 h 1493921"/>
            <a:gd name="connsiteX92" fmla="*/ 255671 w 1214870"/>
            <a:gd name="connsiteY92" fmla="*/ 1263316 h 1493921"/>
            <a:gd name="connsiteX93" fmla="*/ 260684 w 1214870"/>
            <a:gd name="connsiteY93" fmla="*/ 1233237 h 1493921"/>
            <a:gd name="connsiteX94" fmla="*/ 305803 w 1214870"/>
            <a:gd name="connsiteY94" fmla="*/ 1218197 h 1493921"/>
            <a:gd name="connsiteX95" fmla="*/ 320842 w 1214870"/>
            <a:gd name="connsiteY95" fmla="*/ 1213184 h 1493921"/>
            <a:gd name="connsiteX96" fmla="*/ 330869 w 1214870"/>
            <a:gd name="connsiteY96" fmla="*/ 1203158 h 1493921"/>
            <a:gd name="connsiteX97" fmla="*/ 350921 w 1214870"/>
            <a:gd name="connsiteY97" fmla="*/ 1173079 h 1493921"/>
            <a:gd name="connsiteX98" fmla="*/ 355934 w 1214870"/>
            <a:gd name="connsiteY98" fmla="*/ 1158039 h 1493921"/>
            <a:gd name="connsiteX99" fmla="*/ 340895 w 1214870"/>
            <a:gd name="connsiteY99" fmla="*/ 1148013 h 1493921"/>
            <a:gd name="connsiteX100" fmla="*/ 325856 w 1214870"/>
            <a:gd name="connsiteY100" fmla="*/ 1132974 h 1493921"/>
            <a:gd name="connsiteX101" fmla="*/ 295777 w 1214870"/>
            <a:gd name="connsiteY101" fmla="*/ 1122947 h 1493921"/>
            <a:gd name="connsiteX102" fmla="*/ 285750 w 1214870"/>
            <a:gd name="connsiteY102" fmla="*/ 1112921 h 1493921"/>
            <a:gd name="connsiteX103" fmla="*/ 265698 w 1214870"/>
            <a:gd name="connsiteY103" fmla="*/ 1067803 h 1493921"/>
            <a:gd name="connsiteX104" fmla="*/ 250658 w 1214870"/>
            <a:gd name="connsiteY104" fmla="*/ 1012658 h 1493921"/>
            <a:gd name="connsiteX105" fmla="*/ 235619 w 1214870"/>
            <a:gd name="connsiteY105" fmla="*/ 1007645 h 1493921"/>
            <a:gd name="connsiteX106" fmla="*/ 220579 w 1214870"/>
            <a:gd name="connsiteY106" fmla="*/ 997618 h 1493921"/>
            <a:gd name="connsiteX107" fmla="*/ 190500 w 1214870"/>
            <a:gd name="connsiteY107" fmla="*/ 987592 h 1493921"/>
            <a:gd name="connsiteX108" fmla="*/ 160421 w 1214870"/>
            <a:gd name="connsiteY108" fmla="*/ 972553 h 1493921"/>
            <a:gd name="connsiteX109" fmla="*/ 145382 w 1214870"/>
            <a:gd name="connsiteY109" fmla="*/ 962526 h 1493921"/>
            <a:gd name="connsiteX110" fmla="*/ 110290 w 1214870"/>
            <a:gd name="connsiteY110" fmla="*/ 952500 h 1493921"/>
            <a:gd name="connsiteX111" fmla="*/ 95250 w 1214870"/>
            <a:gd name="connsiteY111" fmla="*/ 947487 h 1493921"/>
            <a:gd name="connsiteX112" fmla="*/ 85224 w 1214870"/>
            <a:gd name="connsiteY112" fmla="*/ 932447 h 1493921"/>
            <a:gd name="connsiteX113" fmla="*/ 70184 w 1214870"/>
            <a:gd name="connsiteY113" fmla="*/ 922421 h 1493921"/>
            <a:gd name="connsiteX114" fmla="*/ 65171 w 1214870"/>
            <a:gd name="connsiteY114" fmla="*/ 907382 h 1493921"/>
            <a:gd name="connsiteX115" fmla="*/ 55145 w 1214870"/>
            <a:gd name="connsiteY115" fmla="*/ 897355 h 1493921"/>
            <a:gd name="connsiteX116" fmla="*/ 30079 w 1214870"/>
            <a:gd name="connsiteY116" fmla="*/ 877303 h 1493921"/>
            <a:gd name="connsiteX117" fmla="*/ 10027 w 1214870"/>
            <a:gd name="connsiteY117" fmla="*/ 862263 h 1493921"/>
            <a:gd name="connsiteX118" fmla="*/ 0 w 1214870"/>
            <a:gd name="connsiteY118" fmla="*/ 852237 h 1493921"/>
            <a:gd name="connsiteX119" fmla="*/ 10027 w 1214870"/>
            <a:gd name="connsiteY119" fmla="*/ 842210 h 1493921"/>
            <a:gd name="connsiteX120" fmla="*/ 23617 w 1214870"/>
            <a:gd name="connsiteY120" fmla="*/ 854368 h 1493921"/>
            <a:gd name="connsiteX121" fmla="*/ 40809 w 1214870"/>
            <a:gd name="connsiteY121" fmla="*/ 869407 h 1493921"/>
            <a:gd name="connsiteX122" fmla="*/ 96466 w 1214870"/>
            <a:gd name="connsiteY122" fmla="*/ 884447 h 1493921"/>
            <a:gd name="connsiteX123" fmla="*/ 180046 w 1214870"/>
            <a:gd name="connsiteY123" fmla="*/ 903999 h 1493921"/>
            <a:gd name="connsiteX124" fmla="*/ 310816 w 1214870"/>
            <a:gd name="connsiteY124" fmla="*/ 896353 h 1493921"/>
            <a:gd name="connsiteX125" fmla="*/ 345908 w 1214870"/>
            <a:gd name="connsiteY125" fmla="*/ 867276 h 1493921"/>
            <a:gd name="connsiteX126" fmla="*/ 381000 w 1214870"/>
            <a:gd name="connsiteY126" fmla="*/ 862263 h 1493921"/>
            <a:gd name="connsiteX127" fmla="*/ 411079 w 1214870"/>
            <a:gd name="connsiteY127" fmla="*/ 852237 h 1493921"/>
            <a:gd name="connsiteX128" fmla="*/ 426119 w 1214870"/>
            <a:gd name="connsiteY128" fmla="*/ 847224 h 1493921"/>
            <a:gd name="connsiteX129" fmla="*/ 451184 w 1214870"/>
            <a:gd name="connsiteY129" fmla="*/ 842210 h 1493921"/>
            <a:gd name="connsiteX130" fmla="*/ 461211 w 1214870"/>
            <a:gd name="connsiteY130" fmla="*/ 832184 h 1493921"/>
            <a:gd name="connsiteX131" fmla="*/ 476250 w 1214870"/>
            <a:gd name="connsiteY131" fmla="*/ 827171 h 1493921"/>
            <a:gd name="connsiteX132" fmla="*/ 486277 w 1214870"/>
            <a:gd name="connsiteY132" fmla="*/ 797092 h 1493921"/>
            <a:gd name="connsiteX133" fmla="*/ 476250 w 1214870"/>
            <a:gd name="connsiteY133" fmla="*/ 782053 h 1493921"/>
            <a:gd name="connsiteX134" fmla="*/ 476250 w 1214870"/>
            <a:gd name="connsiteY134" fmla="*/ 686803 h 1493921"/>
            <a:gd name="connsiteX135" fmla="*/ 486277 w 1214870"/>
            <a:gd name="connsiteY135" fmla="*/ 676776 h 1493921"/>
            <a:gd name="connsiteX136" fmla="*/ 526382 w 1214870"/>
            <a:gd name="connsiteY136" fmla="*/ 661737 h 1493921"/>
            <a:gd name="connsiteX137" fmla="*/ 536408 w 1214870"/>
            <a:gd name="connsiteY137" fmla="*/ 646697 h 1493921"/>
            <a:gd name="connsiteX138" fmla="*/ 541421 w 1214870"/>
            <a:gd name="connsiteY138" fmla="*/ 631658 h 1493921"/>
            <a:gd name="connsiteX139" fmla="*/ 556461 w 1214870"/>
            <a:gd name="connsiteY139" fmla="*/ 626645 h 1493921"/>
            <a:gd name="connsiteX140" fmla="*/ 631658 w 1214870"/>
            <a:gd name="connsiteY140" fmla="*/ 626645 h 1493921"/>
            <a:gd name="connsiteX141" fmla="*/ 636671 w 1214870"/>
            <a:gd name="connsiteY141" fmla="*/ 611605 h 1493921"/>
            <a:gd name="connsiteX142" fmla="*/ 646698 w 1214870"/>
            <a:gd name="connsiteY142" fmla="*/ 601579 h 1493921"/>
            <a:gd name="connsiteX143" fmla="*/ 651711 w 1214870"/>
            <a:gd name="connsiteY143" fmla="*/ 566487 h 1493921"/>
            <a:gd name="connsiteX144" fmla="*/ 639295 w 1214870"/>
            <a:gd name="connsiteY144" fmla="*/ 540920 h 1493921"/>
            <a:gd name="connsiteX145" fmla="*/ 624491 w 1214870"/>
            <a:gd name="connsiteY145" fmla="*/ 521117 h 1493921"/>
            <a:gd name="connsiteX146" fmla="*/ 626645 w 1214870"/>
            <a:gd name="connsiteY146" fmla="*/ 501316 h 1493921"/>
            <a:gd name="connsiteX147" fmla="*/ 624959 w 1214870"/>
            <a:gd name="connsiteY147" fmla="*/ 482642 h 1493921"/>
            <a:gd name="connsiteX148" fmla="*/ 623277 w 1214870"/>
            <a:gd name="connsiteY148" fmla="*/ 460961 h 1493921"/>
            <a:gd name="connsiteX149" fmla="*/ 655040 w 1214870"/>
            <a:gd name="connsiteY149" fmla="*/ 436395 h 1493921"/>
            <a:gd name="connsiteX150" fmla="*/ 651711 w 1214870"/>
            <a:gd name="connsiteY150" fmla="*/ 406066 h 1493921"/>
            <a:gd name="connsiteX151" fmla="*/ 626645 w 1214870"/>
            <a:gd name="connsiteY151" fmla="*/ 386013 h 1493921"/>
            <a:gd name="connsiteX152" fmla="*/ 616619 w 1214870"/>
            <a:gd name="connsiteY152" fmla="*/ 370974 h 1493921"/>
            <a:gd name="connsiteX153" fmla="*/ 624491 w 1214870"/>
            <a:gd name="connsiteY153" fmla="*/ 361197 h 1493921"/>
            <a:gd name="connsiteX154" fmla="*/ 647167 w 1214870"/>
            <a:gd name="connsiteY154" fmla="*/ 353803 h 1493921"/>
            <a:gd name="connsiteX155" fmla="*/ 674857 w 1214870"/>
            <a:gd name="connsiteY155" fmla="*/ 346159 h 1493921"/>
            <a:gd name="connsiteX156" fmla="*/ 681790 w 1214870"/>
            <a:gd name="connsiteY156" fmla="*/ 320842 h 1493921"/>
            <a:gd name="connsiteX157" fmla="*/ 666750 w 1214870"/>
            <a:gd name="connsiteY157" fmla="*/ 310816 h 1493921"/>
            <a:gd name="connsiteX158" fmla="*/ 661737 w 1214870"/>
            <a:gd name="connsiteY158" fmla="*/ 295776 h 1493921"/>
            <a:gd name="connsiteX159" fmla="*/ 666750 w 1214870"/>
            <a:gd name="connsiteY159" fmla="*/ 265697 h 1493921"/>
            <a:gd name="connsiteX160" fmla="*/ 666750 w 1214870"/>
            <a:gd name="connsiteY160" fmla="*/ 215566 h 1493921"/>
            <a:gd name="connsiteX161" fmla="*/ 656724 w 1214870"/>
            <a:gd name="connsiteY161" fmla="*/ 205539 h 1493921"/>
            <a:gd name="connsiteX162" fmla="*/ 646698 w 1214870"/>
            <a:gd name="connsiteY162" fmla="*/ 190500 h 1493921"/>
            <a:gd name="connsiteX163" fmla="*/ 636671 w 1214870"/>
            <a:gd name="connsiteY163" fmla="*/ 180474 h 1493921"/>
            <a:gd name="connsiteX164" fmla="*/ 616619 w 1214870"/>
            <a:gd name="connsiteY164" fmla="*/ 145382 h 1493921"/>
            <a:gd name="connsiteX165" fmla="*/ 606592 w 1214870"/>
            <a:gd name="connsiteY165" fmla="*/ 135355 h 1493921"/>
            <a:gd name="connsiteX166" fmla="*/ 596566 w 1214870"/>
            <a:gd name="connsiteY166" fmla="*/ 120316 h 1493921"/>
            <a:gd name="connsiteX167" fmla="*/ 606358 w 1214870"/>
            <a:gd name="connsiteY167" fmla="*/ 99762 h 1493921"/>
            <a:gd name="connsiteX168" fmla="*/ 616619 w 1214870"/>
            <a:gd name="connsiteY168" fmla="*/ 85224 h 1493921"/>
            <a:gd name="connsiteX169" fmla="*/ 661737 w 1214870"/>
            <a:gd name="connsiteY169" fmla="*/ 80210 h 1493921"/>
            <a:gd name="connsiteX170" fmla="*/ 684648 w 1214870"/>
            <a:gd name="connsiteY170" fmla="*/ 63040 h 1493921"/>
            <a:gd name="connsiteX171" fmla="*/ 706856 w 1214870"/>
            <a:gd name="connsiteY171" fmla="*/ 53014 h 1493921"/>
            <a:gd name="connsiteX172" fmla="*/ 756987 w 1214870"/>
            <a:gd name="connsiteY172" fmla="*/ 45118 h 1493921"/>
            <a:gd name="connsiteX173" fmla="*/ 791845 w 1214870"/>
            <a:gd name="connsiteY173" fmla="*/ 34591 h 1493921"/>
            <a:gd name="connsiteX174" fmla="*/ 818595 w 1214870"/>
            <a:gd name="connsiteY174" fmla="*/ 29076 h 1493921"/>
            <a:gd name="connsiteX175" fmla="*/ 852237 w 1214870"/>
            <a:gd name="connsiteY175" fmla="*/ 0 h 1493921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320842 w 1214870"/>
            <a:gd name="connsiteY95" fmla="*/ 1213432 h 1494169"/>
            <a:gd name="connsiteX96" fmla="*/ 330869 w 1214870"/>
            <a:gd name="connsiteY96" fmla="*/ 1203406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310816 w 1214870"/>
            <a:gd name="connsiteY124" fmla="*/ 896601 h 1494169"/>
            <a:gd name="connsiteX125" fmla="*/ 345908 w 1214870"/>
            <a:gd name="connsiteY125" fmla="*/ 867524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6566 w 1214870"/>
            <a:gd name="connsiteY166" fmla="*/ 120564 h 1494169"/>
            <a:gd name="connsiteX167" fmla="*/ 606358 w 1214870"/>
            <a:gd name="connsiteY167" fmla="*/ 100010 h 1494169"/>
            <a:gd name="connsiteX168" fmla="*/ 616619 w 1214870"/>
            <a:gd name="connsiteY168" fmla="*/ 85472 h 1494169"/>
            <a:gd name="connsiteX169" fmla="*/ 661737 w 1214870"/>
            <a:gd name="connsiteY169" fmla="*/ 80458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320842 w 1214870"/>
            <a:gd name="connsiteY95" fmla="*/ 1213432 h 1494169"/>
            <a:gd name="connsiteX96" fmla="*/ 330869 w 1214870"/>
            <a:gd name="connsiteY96" fmla="*/ 1203406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310816 w 1214870"/>
            <a:gd name="connsiteY124" fmla="*/ 896601 h 1494169"/>
            <a:gd name="connsiteX125" fmla="*/ 345908 w 1214870"/>
            <a:gd name="connsiteY125" fmla="*/ 867524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6566 w 1214870"/>
            <a:gd name="connsiteY166" fmla="*/ 120564 h 1494169"/>
            <a:gd name="connsiteX167" fmla="*/ 606358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320842 w 1214870"/>
            <a:gd name="connsiteY95" fmla="*/ 1213432 h 1494169"/>
            <a:gd name="connsiteX96" fmla="*/ 330869 w 1214870"/>
            <a:gd name="connsiteY96" fmla="*/ 1203406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310816 w 1214870"/>
            <a:gd name="connsiteY124" fmla="*/ 896601 h 1494169"/>
            <a:gd name="connsiteX125" fmla="*/ 345908 w 1214870"/>
            <a:gd name="connsiteY125" fmla="*/ 867524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6566 w 1214870"/>
            <a:gd name="connsiteY166" fmla="*/ 120564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320842 w 1214870"/>
            <a:gd name="connsiteY95" fmla="*/ 1213432 h 1494169"/>
            <a:gd name="connsiteX96" fmla="*/ 330869 w 1214870"/>
            <a:gd name="connsiteY96" fmla="*/ 1203406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310816 w 1214870"/>
            <a:gd name="connsiteY124" fmla="*/ 896601 h 1494169"/>
            <a:gd name="connsiteX125" fmla="*/ 345908 w 1214870"/>
            <a:gd name="connsiteY125" fmla="*/ 867524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320842 w 1214870"/>
            <a:gd name="connsiteY95" fmla="*/ 1213432 h 1494169"/>
            <a:gd name="connsiteX96" fmla="*/ 330869 w 1214870"/>
            <a:gd name="connsiteY96" fmla="*/ 1203406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8697 w 1214870"/>
            <a:gd name="connsiteY124" fmla="*/ 903745 h 1494169"/>
            <a:gd name="connsiteX125" fmla="*/ 345908 w 1214870"/>
            <a:gd name="connsiteY125" fmla="*/ 867524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320842 w 1214870"/>
            <a:gd name="connsiteY95" fmla="*/ 1213432 h 1494169"/>
            <a:gd name="connsiteX96" fmla="*/ 330869 w 1214870"/>
            <a:gd name="connsiteY96" fmla="*/ 1203406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8697 w 1214870"/>
            <a:gd name="connsiteY124" fmla="*/ 903745 h 1494169"/>
            <a:gd name="connsiteX125" fmla="*/ 317238 w 1214870"/>
            <a:gd name="connsiteY125" fmla="*/ 888955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320842 w 1214870"/>
            <a:gd name="connsiteY95" fmla="*/ 1213432 h 1494169"/>
            <a:gd name="connsiteX96" fmla="*/ 330869 w 1214870"/>
            <a:gd name="connsiteY96" fmla="*/ 1203406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1529 w 1214870"/>
            <a:gd name="connsiteY124" fmla="*/ 891838 h 1494169"/>
            <a:gd name="connsiteX125" fmla="*/ 317238 w 1214870"/>
            <a:gd name="connsiteY125" fmla="*/ 888955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320842 w 1214870"/>
            <a:gd name="connsiteY95" fmla="*/ 1213432 h 1494169"/>
            <a:gd name="connsiteX96" fmla="*/ 311755 w 1214870"/>
            <a:gd name="connsiteY96" fmla="*/ 1196262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1529 w 1214870"/>
            <a:gd name="connsiteY124" fmla="*/ 891838 h 1494169"/>
            <a:gd name="connsiteX125" fmla="*/ 317238 w 1214870"/>
            <a:gd name="connsiteY125" fmla="*/ 888955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301728 w 1214870"/>
            <a:gd name="connsiteY95" fmla="*/ 1211051 h 1494169"/>
            <a:gd name="connsiteX96" fmla="*/ 311755 w 1214870"/>
            <a:gd name="connsiteY96" fmla="*/ 1196262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1529 w 1214870"/>
            <a:gd name="connsiteY124" fmla="*/ 891838 h 1494169"/>
            <a:gd name="connsiteX125" fmla="*/ 317238 w 1214870"/>
            <a:gd name="connsiteY125" fmla="*/ 888955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287393 w 1214870"/>
            <a:gd name="connsiteY95" fmla="*/ 1206288 h 1494169"/>
            <a:gd name="connsiteX96" fmla="*/ 311755 w 1214870"/>
            <a:gd name="connsiteY96" fmla="*/ 1196262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1529 w 1214870"/>
            <a:gd name="connsiteY124" fmla="*/ 891838 h 1494169"/>
            <a:gd name="connsiteX125" fmla="*/ 317238 w 1214870"/>
            <a:gd name="connsiteY125" fmla="*/ 888955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299340 w 1214870"/>
            <a:gd name="connsiteY95" fmla="*/ 1213432 h 1494169"/>
            <a:gd name="connsiteX96" fmla="*/ 311755 w 1214870"/>
            <a:gd name="connsiteY96" fmla="*/ 1196262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1529 w 1214870"/>
            <a:gd name="connsiteY124" fmla="*/ 891838 h 1494169"/>
            <a:gd name="connsiteX125" fmla="*/ 317238 w 1214870"/>
            <a:gd name="connsiteY125" fmla="*/ 888955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50658 w 1214870"/>
            <a:gd name="connsiteY91" fmla="*/ 1338761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282616 w 1214870"/>
            <a:gd name="connsiteY95" fmla="*/ 1215813 h 1494169"/>
            <a:gd name="connsiteX96" fmla="*/ 311755 w 1214870"/>
            <a:gd name="connsiteY96" fmla="*/ 1196262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1529 w 1214870"/>
            <a:gd name="connsiteY124" fmla="*/ 891838 h 1494169"/>
            <a:gd name="connsiteX125" fmla="*/ 317238 w 1214870"/>
            <a:gd name="connsiteY125" fmla="*/ 888955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69771 w 1214870"/>
            <a:gd name="connsiteY91" fmla="*/ 1341142 h 1494169"/>
            <a:gd name="connsiteX92" fmla="*/ 255671 w 1214870"/>
            <a:gd name="connsiteY92" fmla="*/ 1263564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282616 w 1214870"/>
            <a:gd name="connsiteY95" fmla="*/ 1215813 h 1494169"/>
            <a:gd name="connsiteX96" fmla="*/ 311755 w 1214870"/>
            <a:gd name="connsiteY96" fmla="*/ 1196262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1529 w 1214870"/>
            <a:gd name="connsiteY124" fmla="*/ 891838 h 1494169"/>
            <a:gd name="connsiteX125" fmla="*/ 317238 w 1214870"/>
            <a:gd name="connsiteY125" fmla="*/ 888955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  <a:gd name="connsiteX0" fmla="*/ 852237 w 1214870"/>
            <a:gd name="connsiteY0" fmla="*/ 248 h 1494169"/>
            <a:gd name="connsiteX1" fmla="*/ 897825 w 1214870"/>
            <a:gd name="connsiteY1" fmla="*/ 11027 h 1494169"/>
            <a:gd name="connsiteX2" fmla="*/ 922421 w 1214870"/>
            <a:gd name="connsiteY2" fmla="*/ 18671 h 1494169"/>
            <a:gd name="connsiteX3" fmla="*/ 942474 w 1214870"/>
            <a:gd name="connsiteY3" fmla="*/ 29200 h 1494169"/>
            <a:gd name="connsiteX4" fmla="*/ 957513 w 1214870"/>
            <a:gd name="connsiteY4" fmla="*/ 38975 h 1494169"/>
            <a:gd name="connsiteX5" fmla="*/ 965152 w 1214870"/>
            <a:gd name="connsiteY5" fmla="*/ 46619 h 1494169"/>
            <a:gd name="connsiteX6" fmla="*/ 994995 w 1214870"/>
            <a:gd name="connsiteY6" fmla="*/ 73816 h 1494169"/>
            <a:gd name="connsiteX7" fmla="*/ 1015047 w 1214870"/>
            <a:gd name="connsiteY7" fmla="*/ 98882 h 1494169"/>
            <a:gd name="connsiteX8" fmla="*/ 1039644 w 1214870"/>
            <a:gd name="connsiteY8" fmla="*/ 111289 h 1494169"/>
            <a:gd name="connsiteX9" fmla="*/ 1097882 w 1214870"/>
            <a:gd name="connsiteY9" fmla="*/ 130590 h 1494169"/>
            <a:gd name="connsiteX10" fmla="*/ 1112921 w 1214870"/>
            <a:gd name="connsiteY10" fmla="*/ 135603 h 1494169"/>
            <a:gd name="connsiteX11" fmla="*/ 1168066 w 1214870"/>
            <a:gd name="connsiteY11" fmla="*/ 145630 h 1494169"/>
            <a:gd name="connsiteX12" fmla="*/ 1183106 w 1214870"/>
            <a:gd name="connsiteY12" fmla="*/ 150643 h 1494169"/>
            <a:gd name="connsiteX13" fmla="*/ 1206763 w 1214870"/>
            <a:gd name="connsiteY13" fmla="*/ 158789 h 1494169"/>
            <a:gd name="connsiteX14" fmla="*/ 1194582 w 1214870"/>
            <a:gd name="connsiteY14" fmla="*/ 200774 h 1494169"/>
            <a:gd name="connsiteX15" fmla="*/ 1182167 w 1214870"/>
            <a:gd name="connsiteY15" fmla="*/ 235616 h 1494169"/>
            <a:gd name="connsiteX16" fmla="*/ 1158040 w 1214870"/>
            <a:gd name="connsiteY16" fmla="*/ 250906 h 1494169"/>
            <a:gd name="connsiteX17" fmla="*/ 1127961 w 1214870"/>
            <a:gd name="connsiteY17" fmla="*/ 260932 h 1494169"/>
            <a:gd name="connsiteX18" fmla="*/ 1002632 w 1214870"/>
            <a:gd name="connsiteY18" fmla="*/ 250906 h 1494169"/>
            <a:gd name="connsiteX19" fmla="*/ 957513 w 1214870"/>
            <a:gd name="connsiteY19" fmla="*/ 255919 h 1494169"/>
            <a:gd name="connsiteX20" fmla="*/ 946547 w 1214870"/>
            <a:gd name="connsiteY20" fmla="*/ 268326 h 1494169"/>
            <a:gd name="connsiteX21" fmla="*/ 939146 w 1214870"/>
            <a:gd name="connsiteY21" fmla="*/ 285748 h 1494169"/>
            <a:gd name="connsiteX22" fmla="*/ 947487 w 1214870"/>
            <a:gd name="connsiteY22" fmla="*/ 301037 h 1494169"/>
            <a:gd name="connsiteX23" fmla="*/ 967540 w 1214870"/>
            <a:gd name="connsiteY23" fmla="*/ 326103 h 1494169"/>
            <a:gd name="connsiteX24" fmla="*/ 977566 w 1214870"/>
            <a:gd name="connsiteY24" fmla="*/ 341143 h 1494169"/>
            <a:gd name="connsiteX25" fmla="*/ 992606 w 1214870"/>
            <a:gd name="connsiteY25" fmla="*/ 346156 h 1494169"/>
            <a:gd name="connsiteX26" fmla="*/ 1002632 w 1214870"/>
            <a:gd name="connsiteY26" fmla="*/ 381248 h 1494169"/>
            <a:gd name="connsiteX27" fmla="*/ 1017202 w 1214870"/>
            <a:gd name="connsiteY27" fmla="*/ 391524 h 1494169"/>
            <a:gd name="connsiteX28" fmla="*/ 1027698 w 1214870"/>
            <a:gd name="connsiteY28" fmla="*/ 416340 h 1494169"/>
            <a:gd name="connsiteX29" fmla="*/ 1047046 w 1214870"/>
            <a:gd name="connsiteY29" fmla="*/ 419473 h 1494169"/>
            <a:gd name="connsiteX30" fmla="*/ 1062085 w 1214870"/>
            <a:gd name="connsiteY30" fmla="*/ 431881 h 1494169"/>
            <a:gd name="connsiteX31" fmla="*/ 1082373 w 1214870"/>
            <a:gd name="connsiteY31" fmla="*/ 454314 h 1494169"/>
            <a:gd name="connsiteX32" fmla="*/ 1117934 w 1214870"/>
            <a:gd name="connsiteY32" fmla="*/ 481511 h 1494169"/>
            <a:gd name="connsiteX33" fmla="*/ 1137987 w 1214870"/>
            <a:gd name="connsiteY33" fmla="*/ 501564 h 1494169"/>
            <a:gd name="connsiteX34" fmla="*/ 1175233 w 1214870"/>
            <a:gd name="connsiteY34" fmla="*/ 500185 h 1494169"/>
            <a:gd name="connsiteX35" fmla="*/ 1182636 w 1214870"/>
            <a:gd name="connsiteY35" fmla="*/ 503193 h 1494169"/>
            <a:gd name="connsiteX36" fmla="*/ 1174999 w 1214870"/>
            <a:gd name="connsiteY36" fmla="*/ 520363 h 1494169"/>
            <a:gd name="connsiteX37" fmla="*/ 1188629 w 1214870"/>
            <a:gd name="connsiteY37" fmla="*/ 518233 h 1494169"/>
            <a:gd name="connsiteX38" fmla="*/ 1186946 w 1214870"/>
            <a:gd name="connsiteY38" fmla="*/ 645066 h 1494169"/>
            <a:gd name="connsiteX39" fmla="*/ 1189569 w 1214870"/>
            <a:gd name="connsiteY39" fmla="*/ 688680 h 1494169"/>
            <a:gd name="connsiteX40" fmla="*/ 1169986 w 1214870"/>
            <a:gd name="connsiteY40" fmla="*/ 797590 h 1494169"/>
            <a:gd name="connsiteX41" fmla="*/ 1155181 w 1214870"/>
            <a:gd name="connsiteY41" fmla="*/ 917906 h 1494169"/>
            <a:gd name="connsiteX42" fmla="*/ 1143000 w 1214870"/>
            <a:gd name="connsiteY42" fmla="*/ 987840 h 1494169"/>
            <a:gd name="connsiteX43" fmla="*/ 1122948 w 1214870"/>
            <a:gd name="connsiteY43" fmla="*/ 1017919 h 1494169"/>
            <a:gd name="connsiteX44" fmla="*/ 1007645 w 1214870"/>
            <a:gd name="connsiteY44" fmla="*/ 1032958 h 1494169"/>
            <a:gd name="connsiteX45" fmla="*/ 992606 w 1214870"/>
            <a:gd name="connsiteY45" fmla="*/ 1037972 h 1494169"/>
            <a:gd name="connsiteX46" fmla="*/ 972553 w 1214870"/>
            <a:gd name="connsiteY46" fmla="*/ 1042985 h 1494169"/>
            <a:gd name="connsiteX47" fmla="*/ 986655 w 1214870"/>
            <a:gd name="connsiteY47" fmla="*/ 1060404 h 1494169"/>
            <a:gd name="connsiteX48" fmla="*/ 974473 w 1214870"/>
            <a:gd name="connsiteY48" fmla="*/ 1075695 h 1494169"/>
            <a:gd name="connsiteX49" fmla="*/ 974003 w 1214870"/>
            <a:gd name="connsiteY49" fmla="*/ 1101012 h 1494169"/>
            <a:gd name="connsiteX50" fmla="*/ 980935 w 1214870"/>
            <a:gd name="connsiteY50" fmla="*/ 1111290 h 1494169"/>
            <a:gd name="connsiteX51" fmla="*/ 979016 w 1214870"/>
            <a:gd name="connsiteY51" fmla="*/ 1132093 h 1494169"/>
            <a:gd name="connsiteX52" fmla="*/ 982110 w 1214870"/>
            <a:gd name="connsiteY52" fmla="*/ 1141870 h 1494169"/>
            <a:gd name="connsiteX53" fmla="*/ 997619 w 1214870"/>
            <a:gd name="connsiteY53" fmla="*/ 1157159 h 1494169"/>
            <a:gd name="connsiteX54" fmla="*/ 1044187 w 1214870"/>
            <a:gd name="connsiteY54" fmla="*/ 1177463 h 1494169"/>
            <a:gd name="connsiteX55" fmla="*/ 1064475 w 1214870"/>
            <a:gd name="connsiteY55" fmla="*/ 1221328 h 1494169"/>
            <a:gd name="connsiteX56" fmla="*/ 1074736 w 1214870"/>
            <a:gd name="connsiteY56" fmla="*/ 1233736 h 1494169"/>
            <a:gd name="connsiteX57" fmla="*/ 1079984 w 1214870"/>
            <a:gd name="connsiteY57" fmla="*/ 1244012 h 1494169"/>
            <a:gd name="connsiteX58" fmla="*/ 1100036 w 1214870"/>
            <a:gd name="connsiteY58" fmla="*/ 1268828 h 1494169"/>
            <a:gd name="connsiteX59" fmla="*/ 1114842 w 1214870"/>
            <a:gd name="connsiteY59" fmla="*/ 1281486 h 1494169"/>
            <a:gd name="connsiteX60" fmla="*/ 1152088 w 1214870"/>
            <a:gd name="connsiteY60" fmla="*/ 1301287 h 1494169"/>
            <a:gd name="connsiteX61" fmla="*/ 1166892 w 1214870"/>
            <a:gd name="connsiteY61" fmla="*/ 1316326 h 1494169"/>
            <a:gd name="connsiteX62" fmla="*/ 1187414 w 1214870"/>
            <a:gd name="connsiteY62" fmla="*/ 1341142 h 1494169"/>
            <a:gd name="connsiteX63" fmla="*/ 1178092 w 1214870"/>
            <a:gd name="connsiteY63" fmla="*/ 1353801 h 1494169"/>
            <a:gd name="connsiteX64" fmla="*/ 1197676 w 1214870"/>
            <a:gd name="connsiteY64" fmla="*/ 1361445 h 1494169"/>
            <a:gd name="connsiteX65" fmla="*/ 1214870 w 1214870"/>
            <a:gd name="connsiteY65" fmla="*/ 1391525 h 1494169"/>
            <a:gd name="connsiteX66" fmla="*/ 1203158 w 1214870"/>
            <a:gd name="connsiteY66" fmla="*/ 1408945 h 1494169"/>
            <a:gd name="connsiteX67" fmla="*/ 1017671 w 1214870"/>
            <a:gd name="connsiteY67" fmla="*/ 1423985 h 1494169"/>
            <a:gd name="connsiteX68" fmla="*/ 997619 w 1214870"/>
            <a:gd name="connsiteY68" fmla="*/ 1428998 h 1494169"/>
            <a:gd name="connsiteX69" fmla="*/ 967540 w 1214870"/>
            <a:gd name="connsiteY69" fmla="*/ 1464090 h 1494169"/>
            <a:gd name="connsiteX70" fmla="*/ 962527 w 1214870"/>
            <a:gd name="connsiteY70" fmla="*/ 1479130 h 1494169"/>
            <a:gd name="connsiteX71" fmla="*/ 937461 w 1214870"/>
            <a:gd name="connsiteY71" fmla="*/ 1494169 h 1494169"/>
            <a:gd name="connsiteX72" fmla="*/ 917408 w 1214870"/>
            <a:gd name="connsiteY72" fmla="*/ 1489156 h 1494169"/>
            <a:gd name="connsiteX73" fmla="*/ 902369 w 1214870"/>
            <a:gd name="connsiteY73" fmla="*/ 1479130 h 1494169"/>
            <a:gd name="connsiteX74" fmla="*/ 887329 w 1214870"/>
            <a:gd name="connsiteY74" fmla="*/ 1474116 h 1494169"/>
            <a:gd name="connsiteX75" fmla="*/ 877303 w 1214870"/>
            <a:gd name="connsiteY75" fmla="*/ 1459077 h 1494169"/>
            <a:gd name="connsiteX76" fmla="*/ 862263 w 1214870"/>
            <a:gd name="connsiteY76" fmla="*/ 1454064 h 1494169"/>
            <a:gd name="connsiteX77" fmla="*/ 857250 w 1214870"/>
            <a:gd name="connsiteY77" fmla="*/ 1439024 h 1494169"/>
            <a:gd name="connsiteX78" fmla="*/ 842211 w 1214870"/>
            <a:gd name="connsiteY78" fmla="*/ 1428998 h 1494169"/>
            <a:gd name="connsiteX79" fmla="*/ 837198 w 1214870"/>
            <a:gd name="connsiteY79" fmla="*/ 1413958 h 1494169"/>
            <a:gd name="connsiteX80" fmla="*/ 797092 w 1214870"/>
            <a:gd name="connsiteY80" fmla="*/ 1383880 h 1494169"/>
            <a:gd name="connsiteX81" fmla="*/ 772027 w 1214870"/>
            <a:gd name="connsiteY81" fmla="*/ 1363827 h 1494169"/>
            <a:gd name="connsiteX82" fmla="*/ 736934 w 1214870"/>
            <a:gd name="connsiteY82" fmla="*/ 1333748 h 1494169"/>
            <a:gd name="connsiteX83" fmla="*/ 721895 w 1214870"/>
            <a:gd name="connsiteY83" fmla="*/ 1328735 h 1494169"/>
            <a:gd name="connsiteX84" fmla="*/ 641684 w 1214870"/>
            <a:gd name="connsiteY84" fmla="*/ 1323722 h 1494169"/>
            <a:gd name="connsiteX85" fmla="*/ 626645 w 1214870"/>
            <a:gd name="connsiteY85" fmla="*/ 1333748 h 1494169"/>
            <a:gd name="connsiteX86" fmla="*/ 581527 w 1214870"/>
            <a:gd name="connsiteY86" fmla="*/ 1338761 h 1494169"/>
            <a:gd name="connsiteX87" fmla="*/ 561474 w 1214870"/>
            <a:gd name="connsiteY87" fmla="*/ 1343774 h 1494169"/>
            <a:gd name="connsiteX88" fmla="*/ 526382 w 1214870"/>
            <a:gd name="connsiteY88" fmla="*/ 1353801 h 1494169"/>
            <a:gd name="connsiteX89" fmla="*/ 491290 w 1214870"/>
            <a:gd name="connsiteY89" fmla="*/ 1358814 h 1494169"/>
            <a:gd name="connsiteX90" fmla="*/ 255671 w 1214870"/>
            <a:gd name="connsiteY90" fmla="*/ 1353801 h 1494169"/>
            <a:gd name="connsiteX91" fmla="*/ 269771 w 1214870"/>
            <a:gd name="connsiteY91" fmla="*/ 1341142 h 1494169"/>
            <a:gd name="connsiteX92" fmla="*/ 265228 w 1214870"/>
            <a:gd name="connsiteY92" fmla="*/ 1265945 h 1494169"/>
            <a:gd name="connsiteX93" fmla="*/ 260684 w 1214870"/>
            <a:gd name="connsiteY93" fmla="*/ 1233485 h 1494169"/>
            <a:gd name="connsiteX94" fmla="*/ 305803 w 1214870"/>
            <a:gd name="connsiteY94" fmla="*/ 1218445 h 1494169"/>
            <a:gd name="connsiteX95" fmla="*/ 282616 w 1214870"/>
            <a:gd name="connsiteY95" fmla="*/ 1215813 h 1494169"/>
            <a:gd name="connsiteX96" fmla="*/ 311755 w 1214870"/>
            <a:gd name="connsiteY96" fmla="*/ 1196262 h 1494169"/>
            <a:gd name="connsiteX97" fmla="*/ 350921 w 1214870"/>
            <a:gd name="connsiteY97" fmla="*/ 1173327 h 1494169"/>
            <a:gd name="connsiteX98" fmla="*/ 355934 w 1214870"/>
            <a:gd name="connsiteY98" fmla="*/ 1158287 h 1494169"/>
            <a:gd name="connsiteX99" fmla="*/ 340895 w 1214870"/>
            <a:gd name="connsiteY99" fmla="*/ 1148261 h 1494169"/>
            <a:gd name="connsiteX100" fmla="*/ 325856 w 1214870"/>
            <a:gd name="connsiteY100" fmla="*/ 1133222 h 1494169"/>
            <a:gd name="connsiteX101" fmla="*/ 295777 w 1214870"/>
            <a:gd name="connsiteY101" fmla="*/ 1123195 h 1494169"/>
            <a:gd name="connsiteX102" fmla="*/ 285750 w 1214870"/>
            <a:gd name="connsiteY102" fmla="*/ 1113169 h 1494169"/>
            <a:gd name="connsiteX103" fmla="*/ 265698 w 1214870"/>
            <a:gd name="connsiteY103" fmla="*/ 1068051 h 1494169"/>
            <a:gd name="connsiteX104" fmla="*/ 250658 w 1214870"/>
            <a:gd name="connsiteY104" fmla="*/ 1012906 h 1494169"/>
            <a:gd name="connsiteX105" fmla="*/ 235619 w 1214870"/>
            <a:gd name="connsiteY105" fmla="*/ 1007893 h 1494169"/>
            <a:gd name="connsiteX106" fmla="*/ 220579 w 1214870"/>
            <a:gd name="connsiteY106" fmla="*/ 997866 h 1494169"/>
            <a:gd name="connsiteX107" fmla="*/ 190500 w 1214870"/>
            <a:gd name="connsiteY107" fmla="*/ 987840 h 1494169"/>
            <a:gd name="connsiteX108" fmla="*/ 160421 w 1214870"/>
            <a:gd name="connsiteY108" fmla="*/ 972801 h 1494169"/>
            <a:gd name="connsiteX109" fmla="*/ 145382 w 1214870"/>
            <a:gd name="connsiteY109" fmla="*/ 962774 h 1494169"/>
            <a:gd name="connsiteX110" fmla="*/ 110290 w 1214870"/>
            <a:gd name="connsiteY110" fmla="*/ 952748 h 1494169"/>
            <a:gd name="connsiteX111" fmla="*/ 95250 w 1214870"/>
            <a:gd name="connsiteY111" fmla="*/ 947735 h 1494169"/>
            <a:gd name="connsiteX112" fmla="*/ 85224 w 1214870"/>
            <a:gd name="connsiteY112" fmla="*/ 932695 h 1494169"/>
            <a:gd name="connsiteX113" fmla="*/ 70184 w 1214870"/>
            <a:gd name="connsiteY113" fmla="*/ 922669 h 1494169"/>
            <a:gd name="connsiteX114" fmla="*/ 65171 w 1214870"/>
            <a:gd name="connsiteY114" fmla="*/ 907630 h 1494169"/>
            <a:gd name="connsiteX115" fmla="*/ 55145 w 1214870"/>
            <a:gd name="connsiteY115" fmla="*/ 897603 h 1494169"/>
            <a:gd name="connsiteX116" fmla="*/ 30079 w 1214870"/>
            <a:gd name="connsiteY116" fmla="*/ 877551 h 1494169"/>
            <a:gd name="connsiteX117" fmla="*/ 10027 w 1214870"/>
            <a:gd name="connsiteY117" fmla="*/ 862511 h 1494169"/>
            <a:gd name="connsiteX118" fmla="*/ 0 w 1214870"/>
            <a:gd name="connsiteY118" fmla="*/ 852485 h 1494169"/>
            <a:gd name="connsiteX119" fmla="*/ 10027 w 1214870"/>
            <a:gd name="connsiteY119" fmla="*/ 842458 h 1494169"/>
            <a:gd name="connsiteX120" fmla="*/ 23617 w 1214870"/>
            <a:gd name="connsiteY120" fmla="*/ 854616 h 1494169"/>
            <a:gd name="connsiteX121" fmla="*/ 40809 w 1214870"/>
            <a:gd name="connsiteY121" fmla="*/ 869655 h 1494169"/>
            <a:gd name="connsiteX122" fmla="*/ 96466 w 1214870"/>
            <a:gd name="connsiteY122" fmla="*/ 884695 h 1494169"/>
            <a:gd name="connsiteX123" fmla="*/ 180046 w 1214870"/>
            <a:gd name="connsiteY123" fmla="*/ 904247 h 1494169"/>
            <a:gd name="connsiteX124" fmla="*/ 241529 w 1214870"/>
            <a:gd name="connsiteY124" fmla="*/ 891838 h 1494169"/>
            <a:gd name="connsiteX125" fmla="*/ 317238 w 1214870"/>
            <a:gd name="connsiteY125" fmla="*/ 888955 h 1494169"/>
            <a:gd name="connsiteX126" fmla="*/ 381000 w 1214870"/>
            <a:gd name="connsiteY126" fmla="*/ 862511 h 1494169"/>
            <a:gd name="connsiteX127" fmla="*/ 411079 w 1214870"/>
            <a:gd name="connsiteY127" fmla="*/ 852485 h 1494169"/>
            <a:gd name="connsiteX128" fmla="*/ 426119 w 1214870"/>
            <a:gd name="connsiteY128" fmla="*/ 847472 h 1494169"/>
            <a:gd name="connsiteX129" fmla="*/ 451184 w 1214870"/>
            <a:gd name="connsiteY129" fmla="*/ 842458 h 1494169"/>
            <a:gd name="connsiteX130" fmla="*/ 461211 w 1214870"/>
            <a:gd name="connsiteY130" fmla="*/ 832432 h 1494169"/>
            <a:gd name="connsiteX131" fmla="*/ 476250 w 1214870"/>
            <a:gd name="connsiteY131" fmla="*/ 827419 h 1494169"/>
            <a:gd name="connsiteX132" fmla="*/ 486277 w 1214870"/>
            <a:gd name="connsiteY132" fmla="*/ 797340 h 1494169"/>
            <a:gd name="connsiteX133" fmla="*/ 476250 w 1214870"/>
            <a:gd name="connsiteY133" fmla="*/ 782301 h 1494169"/>
            <a:gd name="connsiteX134" fmla="*/ 476250 w 1214870"/>
            <a:gd name="connsiteY134" fmla="*/ 687051 h 1494169"/>
            <a:gd name="connsiteX135" fmla="*/ 486277 w 1214870"/>
            <a:gd name="connsiteY135" fmla="*/ 677024 h 1494169"/>
            <a:gd name="connsiteX136" fmla="*/ 526382 w 1214870"/>
            <a:gd name="connsiteY136" fmla="*/ 661985 h 1494169"/>
            <a:gd name="connsiteX137" fmla="*/ 536408 w 1214870"/>
            <a:gd name="connsiteY137" fmla="*/ 646945 h 1494169"/>
            <a:gd name="connsiteX138" fmla="*/ 541421 w 1214870"/>
            <a:gd name="connsiteY138" fmla="*/ 631906 h 1494169"/>
            <a:gd name="connsiteX139" fmla="*/ 556461 w 1214870"/>
            <a:gd name="connsiteY139" fmla="*/ 626893 h 1494169"/>
            <a:gd name="connsiteX140" fmla="*/ 631658 w 1214870"/>
            <a:gd name="connsiteY140" fmla="*/ 626893 h 1494169"/>
            <a:gd name="connsiteX141" fmla="*/ 636671 w 1214870"/>
            <a:gd name="connsiteY141" fmla="*/ 611853 h 1494169"/>
            <a:gd name="connsiteX142" fmla="*/ 646698 w 1214870"/>
            <a:gd name="connsiteY142" fmla="*/ 601827 h 1494169"/>
            <a:gd name="connsiteX143" fmla="*/ 651711 w 1214870"/>
            <a:gd name="connsiteY143" fmla="*/ 566735 h 1494169"/>
            <a:gd name="connsiteX144" fmla="*/ 639295 w 1214870"/>
            <a:gd name="connsiteY144" fmla="*/ 541168 h 1494169"/>
            <a:gd name="connsiteX145" fmla="*/ 624491 w 1214870"/>
            <a:gd name="connsiteY145" fmla="*/ 521365 h 1494169"/>
            <a:gd name="connsiteX146" fmla="*/ 626645 w 1214870"/>
            <a:gd name="connsiteY146" fmla="*/ 501564 h 1494169"/>
            <a:gd name="connsiteX147" fmla="*/ 624959 w 1214870"/>
            <a:gd name="connsiteY147" fmla="*/ 482890 h 1494169"/>
            <a:gd name="connsiteX148" fmla="*/ 623277 w 1214870"/>
            <a:gd name="connsiteY148" fmla="*/ 461209 h 1494169"/>
            <a:gd name="connsiteX149" fmla="*/ 655040 w 1214870"/>
            <a:gd name="connsiteY149" fmla="*/ 436643 h 1494169"/>
            <a:gd name="connsiteX150" fmla="*/ 651711 w 1214870"/>
            <a:gd name="connsiteY150" fmla="*/ 406314 h 1494169"/>
            <a:gd name="connsiteX151" fmla="*/ 626645 w 1214870"/>
            <a:gd name="connsiteY151" fmla="*/ 386261 h 1494169"/>
            <a:gd name="connsiteX152" fmla="*/ 616619 w 1214870"/>
            <a:gd name="connsiteY152" fmla="*/ 371222 h 1494169"/>
            <a:gd name="connsiteX153" fmla="*/ 624491 w 1214870"/>
            <a:gd name="connsiteY153" fmla="*/ 361445 h 1494169"/>
            <a:gd name="connsiteX154" fmla="*/ 647167 w 1214870"/>
            <a:gd name="connsiteY154" fmla="*/ 354051 h 1494169"/>
            <a:gd name="connsiteX155" fmla="*/ 674857 w 1214870"/>
            <a:gd name="connsiteY155" fmla="*/ 346407 h 1494169"/>
            <a:gd name="connsiteX156" fmla="*/ 681790 w 1214870"/>
            <a:gd name="connsiteY156" fmla="*/ 321090 h 1494169"/>
            <a:gd name="connsiteX157" fmla="*/ 666750 w 1214870"/>
            <a:gd name="connsiteY157" fmla="*/ 311064 h 1494169"/>
            <a:gd name="connsiteX158" fmla="*/ 661737 w 1214870"/>
            <a:gd name="connsiteY158" fmla="*/ 296024 h 1494169"/>
            <a:gd name="connsiteX159" fmla="*/ 666750 w 1214870"/>
            <a:gd name="connsiteY159" fmla="*/ 265945 h 1494169"/>
            <a:gd name="connsiteX160" fmla="*/ 666750 w 1214870"/>
            <a:gd name="connsiteY160" fmla="*/ 215814 h 1494169"/>
            <a:gd name="connsiteX161" fmla="*/ 656724 w 1214870"/>
            <a:gd name="connsiteY161" fmla="*/ 205787 h 1494169"/>
            <a:gd name="connsiteX162" fmla="*/ 646698 w 1214870"/>
            <a:gd name="connsiteY162" fmla="*/ 190748 h 1494169"/>
            <a:gd name="connsiteX163" fmla="*/ 636671 w 1214870"/>
            <a:gd name="connsiteY163" fmla="*/ 180722 h 1494169"/>
            <a:gd name="connsiteX164" fmla="*/ 616619 w 1214870"/>
            <a:gd name="connsiteY164" fmla="*/ 145630 h 1494169"/>
            <a:gd name="connsiteX165" fmla="*/ 606592 w 1214870"/>
            <a:gd name="connsiteY165" fmla="*/ 135603 h 1494169"/>
            <a:gd name="connsiteX166" fmla="*/ 591787 w 1214870"/>
            <a:gd name="connsiteY166" fmla="*/ 113420 h 1494169"/>
            <a:gd name="connsiteX167" fmla="*/ 599191 w 1214870"/>
            <a:gd name="connsiteY167" fmla="*/ 100010 h 1494169"/>
            <a:gd name="connsiteX168" fmla="*/ 616619 w 1214870"/>
            <a:gd name="connsiteY168" fmla="*/ 85472 h 1494169"/>
            <a:gd name="connsiteX169" fmla="*/ 654569 w 1214870"/>
            <a:gd name="connsiteY169" fmla="*/ 70933 h 1494169"/>
            <a:gd name="connsiteX170" fmla="*/ 684648 w 1214870"/>
            <a:gd name="connsiteY170" fmla="*/ 63288 h 1494169"/>
            <a:gd name="connsiteX171" fmla="*/ 706856 w 1214870"/>
            <a:gd name="connsiteY171" fmla="*/ 53262 h 1494169"/>
            <a:gd name="connsiteX172" fmla="*/ 756987 w 1214870"/>
            <a:gd name="connsiteY172" fmla="*/ 45366 h 1494169"/>
            <a:gd name="connsiteX173" fmla="*/ 791845 w 1214870"/>
            <a:gd name="connsiteY173" fmla="*/ 34839 h 1494169"/>
            <a:gd name="connsiteX174" fmla="*/ 816206 w 1214870"/>
            <a:gd name="connsiteY174" fmla="*/ 22180 h 1494169"/>
            <a:gd name="connsiteX175" fmla="*/ 852237 w 1214870"/>
            <a:gd name="connsiteY175" fmla="*/ 248 h 14941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</a:cxnLst>
          <a:rect l="l" t="t" r="r" b="b"/>
          <a:pathLst>
            <a:path w="1214870" h="1494169">
              <a:moveTo>
                <a:pt x="852237" y="248"/>
              </a:moveTo>
              <a:cubicBezTo>
                <a:pt x="865840" y="-1611"/>
                <a:pt x="882629" y="7434"/>
                <a:pt x="897825" y="11027"/>
              </a:cubicBezTo>
              <a:cubicBezTo>
                <a:pt x="909522" y="14097"/>
                <a:pt x="914980" y="15642"/>
                <a:pt x="922421" y="18671"/>
              </a:cubicBezTo>
              <a:cubicBezTo>
                <a:pt x="929862" y="21700"/>
                <a:pt x="933506" y="26211"/>
                <a:pt x="942474" y="29200"/>
              </a:cubicBezTo>
              <a:lnTo>
                <a:pt x="957513" y="38975"/>
              </a:lnTo>
              <a:cubicBezTo>
                <a:pt x="960855" y="42317"/>
                <a:pt x="958905" y="40812"/>
                <a:pt x="965152" y="46619"/>
              </a:cubicBezTo>
              <a:cubicBezTo>
                <a:pt x="971399" y="52426"/>
                <a:pt x="986679" y="65106"/>
                <a:pt x="994995" y="73816"/>
              </a:cubicBezTo>
              <a:cubicBezTo>
                <a:pt x="1003311" y="82526"/>
                <a:pt x="1007606" y="92637"/>
                <a:pt x="1015047" y="98882"/>
              </a:cubicBezTo>
              <a:cubicBezTo>
                <a:pt x="1022488" y="105127"/>
                <a:pt x="1025838" y="106004"/>
                <a:pt x="1039644" y="111289"/>
              </a:cubicBezTo>
              <a:cubicBezTo>
                <a:pt x="1053450" y="116574"/>
                <a:pt x="1074487" y="128919"/>
                <a:pt x="1097882" y="130590"/>
              </a:cubicBezTo>
              <a:cubicBezTo>
                <a:pt x="1102895" y="132261"/>
                <a:pt x="1107795" y="134321"/>
                <a:pt x="1112921" y="135603"/>
              </a:cubicBezTo>
              <a:cubicBezTo>
                <a:pt x="1149395" y="144721"/>
                <a:pt x="1127863" y="136696"/>
                <a:pt x="1168066" y="145630"/>
              </a:cubicBezTo>
              <a:cubicBezTo>
                <a:pt x="1173225" y="146776"/>
                <a:pt x="1178093" y="148972"/>
                <a:pt x="1183106" y="150643"/>
              </a:cubicBezTo>
              <a:cubicBezTo>
                <a:pt x="1181435" y="157327"/>
                <a:pt x="1204850" y="150434"/>
                <a:pt x="1206763" y="158789"/>
              </a:cubicBezTo>
              <a:cubicBezTo>
                <a:pt x="1208676" y="167144"/>
                <a:pt x="1198681" y="187970"/>
                <a:pt x="1194582" y="200774"/>
              </a:cubicBezTo>
              <a:cubicBezTo>
                <a:pt x="1190483" y="213578"/>
                <a:pt x="1188257" y="227261"/>
                <a:pt x="1182167" y="235616"/>
              </a:cubicBezTo>
              <a:cubicBezTo>
                <a:pt x="1176077" y="243971"/>
                <a:pt x="1167074" y="246687"/>
                <a:pt x="1158040" y="250906"/>
              </a:cubicBezTo>
              <a:cubicBezTo>
                <a:pt x="1149006" y="255125"/>
                <a:pt x="1127961" y="260932"/>
                <a:pt x="1127961" y="260932"/>
              </a:cubicBezTo>
              <a:cubicBezTo>
                <a:pt x="1086185" y="257590"/>
                <a:pt x="1044524" y="252138"/>
                <a:pt x="1002632" y="250906"/>
              </a:cubicBezTo>
              <a:cubicBezTo>
                <a:pt x="987506" y="250461"/>
                <a:pt x="966860" y="253016"/>
                <a:pt x="957513" y="255919"/>
              </a:cubicBezTo>
              <a:cubicBezTo>
                <a:pt x="948166" y="258822"/>
                <a:pt x="949608" y="263354"/>
                <a:pt x="946547" y="268326"/>
              </a:cubicBezTo>
              <a:cubicBezTo>
                <a:pt x="943486" y="273298"/>
                <a:pt x="938989" y="280296"/>
                <a:pt x="939146" y="285748"/>
              </a:cubicBezTo>
              <a:cubicBezTo>
                <a:pt x="939303" y="291200"/>
                <a:pt x="945327" y="299597"/>
                <a:pt x="947487" y="301037"/>
              </a:cubicBezTo>
              <a:cubicBezTo>
                <a:pt x="978346" y="347329"/>
                <a:pt x="938966" y="290386"/>
                <a:pt x="967540" y="326103"/>
              </a:cubicBezTo>
              <a:cubicBezTo>
                <a:pt x="971304" y="330808"/>
                <a:pt x="972861" y="337379"/>
                <a:pt x="977566" y="341143"/>
              </a:cubicBezTo>
              <a:cubicBezTo>
                <a:pt x="981692" y="344444"/>
                <a:pt x="987593" y="344485"/>
                <a:pt x="992606" y="346156"/>
              </a:cubicBezTo>
              <a:cubicBezTo>
                <a:pt x="1004625" y="382214"/>
                <a:pt x="998533" y="373687"/>
                <a:pt x="1002632" y="381248"/>
              </a:cubicBezTo>
              <a:cubicBezTo>
                <a:pt x="1006731" y="388809"/>
                <a:pt x="1014131" y="387224"/>
                <a:pt x="1017202" y="391524"/>
              </a:cubicBezTo>
              <a:cubicBezTo>
                <a:pt x="1022697" y="399216"/>
                <a:pt x="1022724" y="411682"/>
                <a:pt x="1027698" y="416340"/>
              </a:cubicBezTo>
              <a:cubicBezTo>
                <a:pt x="1032672" y="420998"/>
                <a:pt x="1041315" y="416883"/>
                <a:pt x="1047046" y="419473"/>
              </a:cubicBezTo>
              <a:cubicBezTo>
                <a:pt x="1052777" y="422063"/>
                <a:pt x="1056197" y="426074"/>
                <a:pt x="1062085" y="431881"/>
              </a:cubicBezTo>
              <a:cubicBezTo>
                <a:pt x="1067973" y="437688"/>
                <a:pt x="1073065" y="446042"/>
                <a:pt x="1082373" y="454314"/>
              </a:cubicBezTo>
              <a:cubicBezTo>
                <a:pt x="1091681" y="462586"/>
                <a:pt x="1108665" y="473636"/>
                <a:pt x="1117934" y="481511"/>
              </a:cubicBezTo>
              <a:cubicBezTo>
                <a:pt x="1127203" y="489386"/>
                <a:pt x="1130121" y="496320"/>
                <a:pt x="1137987" y="501564"/>
              </a:cubicBezTo>
              <a:lnTo>
                <a:pt x="1175233" y="500185"/>
              </a:lnTo>
              <a:cubicBezTo>
                <a:pt x="1184345" y="527521"/>
                <a:pt x="1182675" y="499830"/>
                <a:pt x="1182636" y="503193"/>
              </a:cubicBezTo>
              <a:cubicBezTo>
                <a:pt x="1182597" y="506556"/>
                <a:pt x="1174000" y="517856"/>
                <a:pt x="1174999" y="520363"/>
              </a:cubicBezTo>
              <a:cubicBezTo>
                <a:pt x="1175998" y="522870"/>
                <a:pt x="1193642" y="516562"/>
                <a:pt x="1188629" y="518233"/>
              </a:cubicBezTo>
              <a:cubicBezTo>
                <a:pt x="1195381" y="558736"/>
                <a:pt x="1173706" y="605345"/>
                <a:pt x="1186946" y="645066"/>
              </a:cubicBezTo>
              <a:lnTo>
                <a:pt x="1189569" y="688680"/>
              </a:lnTo>
              <a:cubicBezTo>
                <a:pt x="1186128" y="729974"/>
                <a:pt x="1175717" y="759386"/>
                <a:pt x="1169986" y="797590"/>
              </a:cubicBezTo>
              <a:cubicBezTo>
                <a:pt x="1164255" y="835794"/>
                <a:pt x="1171498" y="868965"/>
                <a:pt x="1155181" y="917906"/>
              </a:cubicBezTo>
              <a:cubicBezTo>
                <a:pt x="1153510" y="939630"/>
                <a:pt x="1148372" y="971171"/>
                <a:pt x="1143000" y="987840"/>
              </a:cubicBezTo>
              <a:cubicBezTo>
                <a:pt x="1137628" y="1004509"/>
                <a:pt x="1140771" y="1003661"/>
                <a:pt x="1122948" y="1017919"/>
              </a:cubicBezTo>
              <a:cubicBezTo>
                <a:pt x="1078811" y="1053227"/>
                <a:pt x="1186519" y="1024440"/>
                <a:pt x="1007645" y="1032958"/>
              </a:cubicBezTo>
              <a:cubicBezTo>
                <a:pt x="1002632" y="1034629"/>
                <a:pt x="997687" y="1036520"/>
                <a:pt x="992606" y="1037972"/>
              </a:cubicBezTo>
              <a:cubicBezTo>
                <a:pt x="985981" y="1039865"/>
                <a:pt x="973545" y="1039246"/>
                <a:pt x="972553" y="1042985"/>
              </a:cubicBezTo>
              <a:cubicBezTo>
                <a:pt x="971561" y="1046724"/>
                <a:pt x="986335" y="1054952"/>
                <a:pt x="986655" y="1060404"/>
              </a:cubicBezTo>
              <a:cubicBezTo>
                <a:pt x="986975" y="1065856"/>
                <a:pt x="976582" y="1068927"/>
                <a:pt x="974473" y="1075695"/>
              </a:cubicBezTo>
              <a:cubicBezTo>
                <a:pt x="972364" y="1082463"/>
                <a:pt x="977345" y="1090986"/>
                <a:pt x="974003" y="1101012"/>
              </a:cubicBezTo>
              <a:lnTo>
                <a:pt x="980935" y="1111290"/>
              </a:lnTo>
              <a:cubicBezTo>
                <a:pt x="980978" y="1111463"/>
                <a:pt x="978820" y="1126996"/>
                <a:pt x="979016" y="1132093"/>
              </a:cubicBezTo>
              <a:cubicBezTo>
                <a:pt x="979212" y="1137190"/>
                <a:pt x="977097" y="1140199"/>
                <a:pt x="982110" y="1141870"/>
              </a:cubicBezTo>
              <a:cubicBezTo>
                <a:pt x="1008215" y="1181027"/>
                <a:pt x="987273" y="1151227"/>
                <a:pt x="997619" y="1157159"/>
              </a:cubicBezTo>
              <a:cubicBezTo>
                <a:pt x="1007965" y="1163091"/>
                <a:pt x="1033044" y="1166768"/>
                <a:pt x="1044187" y="1177463"/>
              </a:cubicBezTo>
              <a:cubicBezTo>
                <a:pt x="1055330" y="1188158"/>
                <a:pt x="1059384" y="1211949"/>
                <a:pt x="1064475" y="1221328"/>
              </a:cubicBezTo>
              <a:cubicBezTo>
                <a:pt x="1069566" y="1230707"/>
                <a:pt x="1069723" y="1230394"/>
                <a:pt x="1074736" y="1233736"/>
              </a:cubicBezTo>
              <a:cubicBezTo>
                <a:pt x="1078078" y="1238749"/>
                <a:pt x="1075767" y="1238163"/>
                <a:pt x="1079984" y="1244012"/>
              </a:cubicBezTo>
              <a:cubicBezTo>
                <a:pt x="1084201" y="1249861"/>
                <a:pt x="1094226" y="1262582"/>
                <a:pt x="1100036" y="1268828"/>
              </a:cubicBezTo>
              <a:cubicBezTo>
                <a:pt x="1105846" y="1275074"/>
                <a:pt x="1106167" y="1276076"/>
                <a:pt x="1114842" y="1281486"/>
              </a:cubicBezTo>
              <a:cubicBezTo>
                <a:pt x="1123517" y="1286896"/>
                <a:pt x="1139856" y="1297210"/>
                <a:pt x="1152088" y="1301287"/>
              </a:cubicBezTo>
              <a:cubicBezTo>
                <a:pt x="1155430" y="1306300"/>
                <a:pt x="1161004" y="1309684"/>
                <a:pt x="1166892" y="1316326"/>
              </a:cubicBezTo>
              <a:cubicBezTo>
                <a:pt x="1172780" y="1322968"/>
                <a:pt x="1185547" y="1334896"/>
                <a:pt x="1187414" y="1341142"/>
              </a:cubicBezTo>
              <a:cubicBezTo>
                <a:pt x="1189281" y="1347388"/>
                <a:pt x="1176382" y="1350417"/>
                <a:pt x="1178092" y="1353801"/>
              </a:cubicBezTo>
              <a:cubicBezTo>
                <a:pt x="1179802" y="1357185"/>
                <a:pt x="1191546" y="1355158"/>
                <a:pt x="1197676" y="1361445"/>
              </a:cubicBezTo>
              <a:cubicBezTo>
                <a:pt x="1203806" y="1367732"/>
                <a:pt x="1211528" y="1381499"/>
                <a:pt x="1214870" y="1391525"/>
              </a:cubicBezTo>
              <a:lnTo>
                <a:pt x="1203158" y="1408945"/>
              </a:lnTo>
              <a:cubicBezTo>
                <a:pt x="1151412" y="1460696"/>
                <a:pt x="1202169" y="1414524"/>
                <a:pt x="1017671" y="1423985"/>
              </a:cubicBezTo>
              <a:cubicBezTo>
                <a:pt x="1010790" y="1424338"/>
                <a:pt x="1004303" y="1427327"/>
                <a:pt x="997619" y="1428998"/>
              </a:cubicBezTo>
              <a:cubicBezTo>
                <a:pt x="973306" y="1453311"/>
                <a:pt x="982810" y="1441186"/>
                <a:pt x="967540" y="1464090"/>
              </a:cubicBezTo>
              <a:cubicBezTo>
                <a:pt x="965869" y="1469103"/>
                <a:pt x="965246" y="1474599"/>
                <a:pt x="962527" y="1479130"/>
              </a:cubicBezTo>
              <a:cubicBezTo>
                <a:pt x="955646" y="1490598"/>
                <a:pt x="949289" y="1490226"/>
                <a:pt x="937461" y="1494169"/>
              </a:cubicBezTo>
              <a:cubicBezTo>
                <a:pt x="930777" y="1492498"/>
                <a:pt x="923741" y="1491870"/>
                <a:pt x="917408" y="1489156"/>
              </a:cubicBezTo>
              <a:cubicBezTo>
                <a:pt x="911870" y="1486783"/>
                <a:pt x="907758" y="1481824"/>
                <a:pt x="902369" y="1479130"/>
              </a:cubicBezTo>
              <a:cubicBezTo>
                <a:pt x="897642" y="1476767"/>
                <a:pt x="892342" y="1475787"/>
                <a:pt x="887329" y="1474116"/>
              </a:cubicBezTo>
              <a:cubicBezTo>
                <a:pt x="883987" y="1469103"/>
                <a:pt x="882008" y="1462841"/>
                <a:pt x="877303" y="1459077"/>
              </a:cubicBezTo>
              <a:cubicBezTo>
                <a:pt x="873176" y="1455776"/>
                <a:pt x="866000" y="1457801"/>
                <a:pt x="862263" y="1454064"/>
              </a:cubicBezTo>
              <a:cubicBezTo>
                <a:pt x="858526" y="1450327"/>
                <a:pt x="860551" y="1443151"/>
                <a:pt x="857250" y="1439024"/>
              </a:cubicBezTo>
              <a:cubicBezTo>
                <a:pt x="853486" y="1434319"/>
                <a:pt x="847224" y="1432340"/>
                <a:pt x="842211" y="1428998"/>
              </a:cubicBezTo>
              <a:cubicBezTo>
                <a:pt x="840540" y="1423985"/>
                <a:pt x="839917" y="1418489"/>
                <a:pt x="837198" y="1413958"/>
              </a:cubicBezTo>
              <a:cubicBezTo>
                <a:pt x="830529" y="1402844"/>
                <a:pt x="800818" y="1387607"/>
                <a:pt x="797092" y="1383880"/>
              </a:cubicBezTo>
              <a:cubicBezTo>
                <a:pt x="762974" y="1349759"/>
                <a:pt x="816278" y="1401757"/>
                <a:pt x="772027" y="1363827"/>
              </a:cubicBezTo>
              <a:cubicBezTo>
                <a:pt x="754756" y="1349023"/>
                <a:pt x="755351" y="1342956"/>
                <a:pt x="736934" y="1333748"/>
              </a:cubicBezTo>
              <a:cubicBezTo>
                <a:pt x="732208" y="1331385"/>
                <a:pt x="726908" y="1330406"/>
                <a:pt x="721895" y="1328735"/>
              </a:cubicBezTo>
              <a:cubicBezTo>
                <a:pt x="696632" y="1303470"/>
                <a:pt x="709897" y="1311684"/>
                <a:pt x="641684" y="1323722"/>
              </a:cubicBezTo>
              <a:cubicBezTo>
                <a:pt x="635751" y="1324769"/>
                <a:pt x="632490" y="1332287"/>
                <a:pt x="626645" y="1333748"/>
              </a:cubicBezTo>
              <a:cubicBezTo>
                <a:pt x="611965" y="1337418"/>
                <a:pt x="596566" y="1337090"/>
                <a:pt x="581527" y="1338761"/>
              </a:cubicBezTo>
              <a:cubicBezTo>
                <a:pt x="574843" y="1340432"/>
                <a:pt x="568099" y="1341881"/>
                <a:pt x="561474" y="1343774"/>
              </a:cubicBezTo>
              <a:cubicBezTo>
                <a:pt x="542691" y="1349140"/>
                <a:pt x="547919" y="1349885"/>
                <a:pt x="526382" y="1353801"/>
              </a:cubicBezTo>
              <a:cubicBezTo>
                <a:pt x="514757" y="1355915"/>
                <a:pt x="502987" y="1357143"/>
                <a:pt x="491290" y="1358814"/>
              </a:cubicBezTo>
              <a:cubicBezTo>
                <a:pt x="412750" y="1357143"/>
                <a:pt x="292591" y="1356746"/>
                <a:pt x="255671" y="1353801"/>
              </a:cubicBezTo>
              <a:cubicBezTo>
                <a:pt x="218751" y="1350856"/>
                <a:pt x="268178" y="1355785"/>
                <a:pt x="269771" y="1341142"/>
              </a:cubicBezTo>
              <a:cubicBezTo>
                <a:pt x="271364" y="1326499"/>
                <a:pt x="266742" y="1283888"/>
                <a:pt x="265228" y="1265945"/>
              </a:cubicBezTo>
              <a:cubicBezTo>
                <a:pt x="263714" y="1248002"/>
                <a:pt x="253991" y="1241135"/>
                <a:pt x="260684" y="1233485"/>
              </a:cubicBezTo>
              <a:cubicBezTo>
                <a:pt x="260686" y="1233483"/>
                <a:pt x="298282" y="1220952"/>
                <a:pt x="305803" y="1218445"/>
              </a:cubicBezTo>
              <a:lnTo>
                <a:pt x="282616" y="1215813"/>
              </a:lnTo>
              <a:cubicBezTo>
                <a:pt x="285958" y="1212471"/>
                <a:pt x="300371" y="1203343"/>
                <a:pt x="311755" y="1196262"/>
              </a:cubicBezTo>
              <a:cubicBezTo>
                <a:pt x="323139" y="1189181"/>
                <a:pt x="343558" y="1179656"/>
                <a:pt x="350921" y="1173327"/>
              </a:cubicBezTo>
              <a:cubicBezTo>
                <a:pt x="358284" y="1166998"/>
                <a:pt x="357897" y="1163194"/>
                <a:pt x="355934" y="1158287"/>
              </a:cubicBezTo>
              <a:cubicBezTo>
                <a:pt x="353696" y="1152693"/>
                <a:pt x="345523" y="1152118"/>
                <a:pt x="340895" y="1148261"/>
              </a:cubicBezTo>
              <a:cubicBezTo>
                <a:pt x="335449" y="1143722"/>
                <a:pt x="332053" y="1136665"/>
                <a:pt x="325856" y="1133222"/>
              </a:cubicBezTo>
              <a:cubicBezTo>
                <a:pt x="316617" y="1128089"/>
                <a:pt x="295777" y="1123195"/>
                <a:pt x="295777" y="1123195"/>
              </a:cubicBezTo>
              <a:cubicBezTo>
                <a:pt x="292435" y="1119853"/>
                <a:pt x="288703" y="1116860"/>
                <a:pt x="285750" y="1113169"/>
              </a:cubicBezTo>
              <a:cubicBezTo>
                <a:pt x="274548" y="1099167"/>
                <a:pt x="269409" y="1086601"/>
                <a:pt x="265698" y="1068051"/>
              </a:cubicBezTo>
              <a:cubicBezTo>
                <a:pt x="264473" y="1061925"/>
                <a:pt x="256108" y="1014723"/>
                <a:pt x="250658" y="1012906"/>
              </a:cubicBezTo>
              <a:lnTo>
                <a:pt x="235619" y="1007893"/>
              </a:lnTo>
              <a:cubicBezTo>
                <a:pt x="230606" y="1004551"/>
                <a:pt x="226085" y="1000313"/>
                <a:pt x="220579" y="997866"/>
              </a:cubicBezTo>
              <a:cubicBezTo>
                <a:pt x="210921" y="993574"/>
                <a:pt x="190500" y="987840"/>
                <a:pt x="190500" y="987840"/>
              </a:cubicBezTo>
              <a:cubicBezTo>
                <a:pt x="147392" y="959102"/>
                <a:pt x="201939" y="993561"/>
                <a:pt x="160421" y="972801"/>
              </a:cubicBezTo>
              <a:cubicBezTo>
                <a:pt x="155032" y="970106"/>
                <a:pt x="150771" y="965469"/>
                <a:pt x="145382" y="962774"/>
              </a:cubicBezTo>
              <a:cubicBezTo>
                <a:pt x="137372" y="958769"/>
                <a:pt x="117782" y="954889"/>
                <a:pt x="110290" y="952748"/>
              </a:cubicBezTo>
              <a:cubicBezTo>
                <a:pt x="105209" y="951296"/>
                <a:pt x="100263" y="949406"/>
                <a:pt x="95250" y="947735"/>
              </a:cubicBezTo>
              <a:cubicBezTo>
                <a:pt x="91908" y="942722"/>
                <a:pt x="89484" y="936955"/>
                <a:pt x="85224" y="932695"/>
              </a:cubicBezTo>
              <a:cubicBezTo>
                <a:pt x="80964" y="928435"/>
                <a:pt x="73948" y="927374"/>
                <a:pt x="70184" y="922669"/>
              </a:cubicBezTo>
              <a:cubicBezTo>
                <a:pt x="66883" y="918543"/>
                <a:pt x="67890" y="912161"/>
                <a:pt x="65171" y="907630"/>
              </a:cubicBezTo>
              <a:cubicBezTo>
                <a:pt x="62739" y="903577"/>
                <a:pt x="58098" y="901294"/>
                <a:pt x="55145" y="897603"/>
              </a:cubicBezTo>
              <a:cubicBezTo>
                <a:pt x="38655" y="876990"/>
                <a:pt x="53933" y="885502"/>
                <a:pt x="30079" y="877551"/>
              </a:cubicBezTo>
              <a:cubicBezTo>
                <a:pt x="23395" y="872538"/>
                <a:pt x="16446" y="867860"/>
                <a:pt x="10027" y="862511"/>
              </a:cubicBezTo>
              <a:cubicBezTo>
                <a:pt x="6396" y="859485"/>
                <a:pt x="0" y="857212"/>
                <a:pt x="0" y="852485"/>
              </a:cubicBezTo>
              <a:lnTo>
                <a:pt x="10027" y="842458"/>
              </a:lnTo>
              <a:cubicBezTo>
                <a:pt x="21724" y="844129"/>
                <a:pt x="18487" y="850083"/>
                <a:pt x="23617" y="854616"/>
              </a:cubicBezTo>
              <a:cubicBezTo>
                <a:pt x="28747" y="859149"/>
                <a:pt x="28668" y="864642"/>
                <a:pt x="40809" y="869655"/>
              </a:cubicBezTo>
              <a:cubicBezTo>
                <a:pt x="52950" y="874668"/>
                <a:pt x="73260" y="878930"/>
                <a:pt x="96466" y="884695"/>
              </a:cubicBezTo>
              <a:cubicBezTo>
                <a:pt x="119672" y="890460"/>
                <a:pt x="155869" y="903057"/>
                <a:pt x="180046" y="904247"/>
              </a:cubicBezTo>
              <a:cubicBezTo>
                <a:pt x="204223" y="905438"/>
                <a:pt x="218664" y="894387"/>
                <a:pt x="241529" y="891838"/>
              </a:cubicBezTo>
              <a:cubicBezTo>
                <a:pt x="264394" y="889289"/>
                <a:pt x="293993" y="893843"/>
                <a:pt x="317238" y="888955"/>
              </a:cubicBezTo>
              <a:cubicBezTo>
                <a:pt x="340483" y="884067"/>
                <a:pt x="369303" y="864182"/>
                <a:pt x="381000" y="862511"/>
              </a:cubicBezTo>
              <a:lnTo>
                <a:pt x="411079" y="852485"/>
              </a:lnTo>
              <a:cubicBezTo>
                <a:pt x="416092" y="850814"/>
                <a:pt x="420937" y="848509"/>
                <a:pt x="426119" y="847472"/>
              </a:cubicBezTo>
              <a:lnTo>
                <a:pt x="451184" y="842458"/>
              </a:lnTo>
              <a:cubicBezTo>
                <a:pt x="454526" y="839116"/>
                <a:pt x="457158" y="834864"/>
                <a:pt x="461211" y="832432"/>
              </a:cubicBezTo>
              <a:cubicBezTo>
                <a:pt x="465742" y="829713"/>
                <a:pt x="473179" y="831719"/>
                <a:pt x="476250" y="827419"/>
              </a:cubicBezTo>
              <a:cubicBezTo>
                <a:pt x="482393" y="818819"/>
                <a:pt x="486277" y="797340"/>
                <a:pt x="486277" y="797340"/>
              </a:cubicBezTo>
              <a:cubicBezTo>
                <a:pt x="482935" y="792327"/>
                <a:pt x="478945" y="787690"/>
                <a:pt x="476250" y="782301"/>
              </a:cubicBezTo>
              <a:cubicBezTo>
                <a:pt x="462398" y="754597"/>
                <a:pt x="472775" y="707898"/>
                <a:pt x="476250" y="687051"/>
              </a:cubicBezTo>
              <a:cubicBezTo>
                <a:pt x="477027" y="682389"/>
                <a:pt x="482586" y="679977"/>
                <a:pt x="486277" y="677024"/>
              </a:cubicBezTo>
              <a:cubicBezTo>
                <a:pt x="503488" y="663255"/>
                <a:pt x="502363" y="666789"/>
                <a:pt x="526382" y="661985"/>
              </a:cubicBezTo>
              <a:cubicBezTo>
                <a:pt x="529724" y="656972"/>
                <a:pt x="533714" y="652334"/>
                <a:pt x="536408" y="646945"/>
              </a:cubicBezTo>
              <a:cubicBezTo>
                <a:pt x="538771" y="642219"/>
                <a:pt x="537684" y="635642"/>
                <a:pt x="541421" y="631906"/>
              </a:cubicBezTo>
              <a:cubicBezTo>
                <a:pt x="545158" y="628169"/>
                <a:pt x="551448" y="628564"/>
                <a:pt x="556461" y="626893"/>
              </a:cubicBezTo>
              <a:cubicBezTo>
                <a:pt x="565242" y="627771"/>
                <a:pt x="615406" y="637728"/>
                <a:pt x="631658" y="626893"/>
              </a:cubicBezTo>
              <a:cubicBezTo>
                <a:pt x="636055" y="623962"/>
                <a:pt x="633952" y="616384"/>
                <a:pt x="636671" y="611853"/>
              </a:cubicBezTo>
              <a:cubicBezTo>
                <a:pt x="639103" y="607800"/>
                <a:pt x="643356" y="605169"/>
                <a:pt x="646698" y="601827"/>
              </a:cubicBezTo>
              <a:cubicBezTo>
                <a:pt x="648369" y="590130"/>
                <a:pt x="652945" y="576845"/>
                <a:pt x="651711" y="566735"/>
              </a:cubicBezTo>
              <a:cubicBezTo>
                <a:pt x="650477" y="556625"/>
                <a:pt x="643832" y="548730"/>
                <a:pt x="639295" y="541168"/>
              </a:cubicBezTo>
              <a:cubicBezTo>
                <a:pt x="634758" y="533606"/>
                <a:pt x="626599" y="527966"/>
                <a:pt x="624491" y="521365"/>
              </a:cubicBezTo>
              <a:cubicBezTo>
                <a:pt x="622383" y="514764"/>
                <a:pt x="628316" y="506577"/>
                <a:pt x="626645" y="501564"/>
              </a:cubicBezTo>
              <a:cubicBezTo>
                <a:pt x="629692" y="483278"/>
                <a:pt x="625520" y="489616"/>
                <a:pt x="624959" y="482890"/>
              </a:cubicBezTo>
              <a:cubicBezTo>
                <a:pt x="624398" y="476164"/>
                <a:pt x="618264" y="462880"/>
                <a:pt x="623277" y="461209"/>
              </a:cubicBezTo>
              <a:cubicBezTo>
                <a:pt x="628290" y="456196"/>
                <a:pt x="650301" y="445792"/>
                <a:pt x="655040" y="436643"/>
              </a:cubicBezTo>
              <a:cubicBezTo>
                <a:pt x="659779" y="427494"/>
                <a:pt x="656443" y="414711"/>
                <a:pt x="651711" y="406314"/>
              </a:cubicBezTo>
              <a:cubicBezTo>
                <a:pt x="646979" y="397917"/>
                <a:pt x="672931" y="417118"/>
                <a:pt x="626645" y="386261"/>
              </a:cubicBezTo>
              <a:cubicBezTo>
                <a:pt x="623303" y="381248"/>
                <a:pt x="616978" y="375358"/>
                <a:pt x="616619" y="371222"/>
              </a:cubicBezTo>
              <a:cubicBezTo>
                <a:pt x="616260" y="367086"/>
                <a:pt x="619400" y="364307"/>
                <a:pt x="624491" y="361445"/>
              </a:cubicBezTo>
              <a:cubicBezTo>
                <a:pt x="629582" y="358583"/>
                <a:pt x="638773" y="356557"/>
                <a:pt x="647167" y="354051"/>
              </a:cubicBezTo>
              <a:cubicBezTo>
                <a:pt x="655561" y="351545"/>
                <a:pt x="669087" y="351900"/>
                <a:pt x="674857" y="346407"/>
              </a:cubicBezTo>
              <a:cubicBezTo>
                <a:pt x="680627" y="340914"/>
                <a:pt x="683141" y="326981"/>
                <a:pt x="681790" y="321090"/>
              </a:cubicBezTo>
              <a:cubicBezTo>
                <a:pt x="680439" y="315199"/>
                <a:pt x="670514" y="315769"/>
                <a:pt x="666750" y="311064"/>
              </a:cubicBezTo>
              <a:cubicBezTo>
                <a:pt x="663449" y="306938"/>
                <a:pt x="663408" y="301037"/>
                <a:pt x="661737" y="296024"/>
              </a:cubicBezTo>
              <a:cubicBezTo>
                <a:pt x="663408" y="285998"/>
                <a:pt x="664545" y="275868"/>
                <a:pt x="666750" y="265945"/>
              </a:cubicBezTo>
              <a:cubicBezTo>
                <a:pt x="672376" y="240629"/>
                <a:pt x="679496" y="254052"/>
                <a:pt x="666750" y="215814"/>
              </a:cubicBezTo>
              <a:cubicBezTo>
                <a:pt x="665255" y="211330"/>
                <a:pt x="659677" y="209478"/>
                <a:pt x="656724" y="205787"/>
              </a:cubicBezTo>
              <a:cubicBezTo>
                <a:pt x="652960" y="201082"/>
                <a:pt x="650462" y="195453"/>
                <a:pt x="646698" y="190748"/>
              </a:cubicBezTo>
              <a:cubicBezTo>
                <a:pt x="643745" y="187057"/>
                <a:pt x="639624" y="184413"/>
                <a:pt x="636671" y="180722"/>
              </a:cubicBezTo>
              <a:cubicBezTo>
                <a:pt x="616164" y="155088"/>
                <a:pt x="637198" y="176498"/>
                <a:pt x="616619" y="145630"/>
              </a:cubicBezTo>
              <a:cubicBezTo>
                <a:pt x="613997" y="141697"/>
                <a:pt x="610731" y="140971"/>
                <a:pt x="606592" y="135603"/>
              </a:cubicBezTo>
              <a:cubicBezTo>
                <a:pt x="602453" y="130235"/>
                <a:pt x="595129" y="118433"/>
                <a:pt x="591787" y="113420"/>
              </a:cubicBezTo>
              <a:cubicBezTo>
                <a:pt x="593458" y="103394"/>
                <a:pt x="595052" y="104668"/>
                <a:pt x="599191" y="100010"/>
              </a:cubicBezTo>
              <a:cubicBezTo>
                <a:pt x="603330" y="95352"/>
                <a:pt x="607389" y="90318"/>
                <a:pt x="616619" y="85472"/>
              </a:cubicBezTo>
              <a:cubicBezTo>
                <a:pt x="625849" y="80626"/>
                <a:pt x="639530" y="72604"/>
                <a:pt x="654569" y="70933"/>
              </a:cubicBezTo>
              <a:cubicBezTo>
                <a:pt x="664595" y="67591"/>
                <a:pt x="675934" y="66233"/>
                <a:pt x="684648" y="63288"/>
              </a:cubicBezTo>
              <a:cubicBezTo>
                <a:pt x="693363" y="60343"/>
                <a:pt x="694800" y="56249"/>
                <a:pt x="706856" y="53262"/>
              </a:cubicBezTo>
              <a:cubicBezTo>
                <a:pt x="718913" y="50275"/>
                <a:pt x="740324" y="49532"/>
                <a:pt x="756987" y="45366"/>
              </a:cubicBezTo>
              <a:cubicBezTo>
                <a:pt x="767013" y="38682"/>
                <a:pt x="785161" y="44865"/>
                <a:pt x="791845" y="34839"/>
              </a:cubicBezTo>
              <a:cubicBezTo>
                <a:pt x="795187" y="29826"/>
                <a:pt x="810700" y="24627"/>
                <a:pt x="816206" y="22180"/>
              </a:cubicBezTo>
              <a:cubicBezTo>
                <a:pt x="829080" y="16458"/>
                <a:pt x="838634" y="2107"/>
                <a:pt x="852237" y="248"/>
              </a:cubicBezTo>
              <a:close/>
            </a:path>
          </a:pathLst>
        </a:custGeom>
        <a:solidFill>
          <a:srgbClr val="FF00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2006</xdr:colOff>
      <xdr:row>19</xdr:row>
      <xdr:rowOff>16234</xdr:rowOff>
    </xdr:from>
    <xdr:to>
      <xdr:col>39</xdr:col>
      <xdr:colOff>506329</xdr:colOff>
      <xdr:row>24</xdr:row>
      <xdr:rowOff>95251</xdr:rowOff>
    </xdr:to>
    <xdr:sp macro="" textlink="">
      <xdr:nvSpPr>
        <xdr:cNvPr id="5" name="Freeform 4"/>
        <xdr:cNvSpPr/>
      </xdr:nvSpPr>
      <xdr:spPr>
        <a:xfrm>
          <a:off x="22709606" y="3635734"/>
          <a:ext cx="1113923" cy="1031517"/>
        </a:xfrm>
        <a:custGeom>
          <a:avLst/>
          <a:gdLst>
            <a:gd name="connsiteX0" fmla="*/ 1117934 w 1117934"/>
            <a:gd name="connsiteY0" fmla="*/ 124135 h 1031517"/>
            <a:gd name="connsiteX1" fmla="*/ 1092868 w 1117934"/>
            <a:gd name="connsiteY1" fmla="*/ 144188 h 1031517"/>
            <a:gd name="connsiteX2" fmla="*/ 1077829 w 1117934"/>
            <a:gd name="connsiteY2" fmla="*/ 154214 h 1031517"/>
            <a:gd name="connsiteX3" fmla="*/ 1067802 w 1117934"/>
            <a:gd name="connsiteY3" fmla="*/ 164240 h 1031517"/>
            <a:gd name="connsiteX4" fmla="*/ 1022684 w 1117934"/>
            <a:gd name="connsiteY4" fmla="*/ 169253 h 1031517"/>
            <a:gd name="connsiteX5" fmla="*/ 972552 w 1117934"/>
            <a:gd name="connsiteY5" fmla="*/ 179280 h 1031517"/>
            <a:gd name="connsiteX6" fmla="*/ 957513 w 1117934"/>
            <a:gd name="connsiteY6" fmla="*/ 189306 h 1031517"/>
            <a:gd name="connsiteX7" fmla="*/ 927434 w 1117934"/>
            <a:gd name="connsiteY7" fmla="*/ 199332 h 1031517"/>
            <a:gd name="connsiteX8" fmla="*/ 887329 w 1117934"/>
            <a:gd name="connsiteY8" fmla="*/ 209359 h 1031517"/>
            <a:gd name="connsiteX9" fmla="*/ 882316 w 1117934"/>
            <a:gd name="connsiteY9" fmla="*/ 224398 h 1031517"/>
            <a:gd name="connsiteX10" fmla="*/ 867276 w 1117934"/>
            <a:gd name="connsiteY10" fmla="*/ 229411 h 1031517"/>
            <a:gd name="connsiteX11" fmla="*/ 857250 w 1117934"/>
            <a:gd name="connsiteY11" fmla="*/ 239438 h 1031517"/>
            <a:gd name="connsiteX12" fmla="*/ 877302 w 1117934"/>
            <a:gd name="connsiteY12" fmla="*/ 264503 h 1031517"/>
            <a:gd name="connsiteX13" fmla="*/ 902368 w 1117934"/>
            <a:gd name="connsiteY13" fmla="*/ 289569 h 1031517"/>
            <a:gd name="connsiteX14" fmla="*/ 917408 w 1117934"/>
            <a:gd name="connsiteY14" fmla="*/ 304609 h 1031517"/>
            <a:gd name="connsiteX15" fmla="*/ 932447 w 1117934"/>
            <a:gd name="connsiteY15" fmla="*/ 314635 h 1031517"/>
            <a:gd name="connsiteX16" fmla="*/ 942473 w 1117934"/>
            <a:gd name="connsiteY16" fmla="*/ 344714 h 1031517"/>
            <a:gd name="connsiteX17" fmla="*/ 947487 w 1117934"/>
            <a:gd name="connsiteY17" fmla="*/ 359753 h 1031517"/>
            <a:gd name="connsiteX18" fmla="*/ 942473 w 1117934"/>
            <a:gd name="connsiteY18" fmla="*/ 404872 h 1031517"/>
            <a:gd name="connsiteX19" fmla="*/ 952500 w 1117934"/>
            <a:gd name="connsiteY19" fmla="*/ 414898 h 1031517"/>
            <a:gd name="connsiteX20" fmla="*/ 962526 w 1117934"/>
            <a:gd name="connsiteY20" fmla="*/ 449990 h 1031517"/>
            <a:gd name="connsiteX21" fmla="*/ 957513 w 1117934"/>
            <a:gd name="connsiteY21" fmla="*/ 465030 h 1031517"/>
            <a:gd name="connsiteX22" fmla="*/ 927434 w 1117934"/>
            <a:gd name="connsiteY22" fmla="*/ 475056 h 1031517"/>
            <a:gd name="connsiteX23" fmla="*/ 892342 w 1117934"/>
            <a:gd name="connsiteY23" fmla="*/ 485082 h 1031517"/>
            <a:gd name="connsiteX24" fmla="*/ 897355 w 1117934"/>
            <a:gd name="connsiteY24" fmla="*/ 505135 h 1031517"/>
            <a:gd name="connsiteX25" fmla="*/ 912394 w 1117934"/>
            <a:gd name="connsiteY25" fmla="*/ 520174 h 1031517"/>
            <a:gd name="connsiteX26" fmla="*/ 917408 w 1117934"/>
            <a:gd name="connsiteY26" fmla="*/ 535214 h 1031517"/>
            <a:gd name="connsiteX27" fmla="*/ 927434 w 1117934"/>
            <a:gd name="connsiteY27" fmla="*/ 550253 h 1031517"/>
            <a:gd name="connsiteX28" fmla="*/ 902368 w 1117934"/>
            <a:gd name="connsiteY28" fmla="*/ 590359 h 1031517"/>
            <a:gd name="connsiteX29" fmla="*/ 892342 w 1117934"/>
            <a:gd name="connsiteY29" fmla="*/ 605398 h 1031517"/>
            <a:gd name="connsiteX30" fmla="*/ 892342 w 1117934"/>
            <a:gd name="connsiteY30" fmla="*/ 645503 h 1031517"/>
            <a:gd name="connsiteX31" fmla="*/ 897355 w 1117934"/>
            <a:gd name="connsiteY31" fmla="*/ 660543 h 1031517"/>
            <a:gd name="connsiteX32" fmla="*/ 912394 w 1117934"/>
            <a:gd name="connsiteY32" fmla="*/ 670569 h 1031517"/>
            <a:gd name="connsiteX33" fmla="*/ 912394 w 1117934"/>
            <a:gd name="connsiteY33" fmla="*/ 745767 h 1031517"/>
            <a:gd name="connsiteX34" fmla="*/ 902368 w 1117934"/>
            <a:gd name="connsiteY34" fmla="*/ 760806 h 1031517"/>
            <a:gd name="connsiteX35" fmla="*/ 837197 w 1117934"/>
            <a:gd name="connsiteY35" fmla="*/ 760806 h 1031517"/>
            <a:gd name="connsiteX36" fmla="*/ 827171 w 1117934"/>
            <a:gd name="connsiteY36" fmla="*/ 775845 h 1031517"/>
            <a:gd name="connsiteX37" fmla="*/ 822158 w 1117934"/>
            <a:gd name="connsiteY37" fmla="*/ 795898 h 1031517"/>
            <a:gd name="connsiteX38" fmla="*/ 797092 w 1117934"/>
            <a:gd name="connsiteY38" fmla="*/ 800911 h 1031517"/>
            <a:gd name="connsiteX39" fmla="*/ 777039 w 1117934"/>
            <a:gd name="connsiteY39" fmla="*/ 805924 h 1031517"/>
            <a:gd name="connsiteX40" fmla="*/ 756987 w 1117934"/>
            <a:gd name="connsiteY40" fmla="*/ 830990 h 1031517"/>
            <a:gd name="connsiteX41" fmla="*/ 746960 w 1117934"/>
            <a:gd name="connsiteY41" fmla="*/ 841017 h 1031517"/>
            <a:gd name="connsiteX42" fmla="*/ 751973 w 1117934"/>
            <a:gd name="connsiteY42" fmla="*/ 926240 h 1031517"/>
            <a:gd name="connsiteX43" fmla="*/ 756987 w 1117934"/>
            <a:gd name="connsiteY43" fmla="*/ 941280 h 1031517"/>
            <a:gd name="connsiteX44" fmla="*/ 741947 w 1117934"/>
            <a:gd name="connsiteY44" fmla="*/ 971359 h 1031517"/>
            <a:gd name="connsiteX45" fmla="*/ 726908 w 1117934"/>
            <a:gd name="connsiteY45" fmla="*/ 976372 h 1031517"/>
            <a:gd name="connsiteX46" fmla="*/ 716881 w 1117934"/>
            <a:gd name="connsiteY46" fmla="*/ 986398 h 1031517"/>
            <a:gd name="connsiteX47" fmla="*/ 701842 w 1117934"/>
            <a:gd name="connsiteY47" fmla="*/ 996424 h 1031517"/>
            <a:gd name="connsiteX48" fmla="*/ 606592 w 1117934"/>
            <a:gd name="connsiteY48" fmla="*/ 1006451 h 1031517"/>
            <a:gd name="connsiteX49" fmla="*/ 576513 w 1117934"/>
            <a:gd name="connsiteY49" fmla="*/ 1026503 h 1031517"/>
            <a:gd name="connsiteX50" fmla="*/ 546434 w 1117934"/>
            <a:gd name="connsiteY50" fmla="*/ 1016477 h 1031517"/>
            <a:gd name="connsiteX51" fmla="*/ 486276 w 1117934"/>
            <a:gd name="connsiteY51" fmla="*/ 1021490 h 1031517"/>
            <a:gd name="connsiteX52" fmla="*/ 456197 w 1117934"/>
            <a:gd name="connsiteY52" fmla="*/ 1031517 h 1031517"/>
            <a:gd name="connsiteX53" fmla="*/ 411079 w 1117934"/>
            <a:gd name="connsiteY53" fmla="*/ 1026503 h 1031517"/>
            <a:gd name="connsiteX54" fmla="*/ 381000 w 1117934"/>
            <a:gd name="connsiteY54" fmla="*/ 1011464 h 1031517"/>
            <a:gd name="connsiteX55" fmla="*/ 350921 w 1117934"/>
            <a:gd name="connsiteY55" fmla="*/ 1001438 h 1031517"/>
            <a:gd name="connsiteX56" fmla="*/ 335881 w 1117934"/>
            <a:gd name="connsiteY56" fmla="*/ 996424 h 1031517"/>
            <a:gd name="connsiteX57" fmla="*/ 320842 w 1117934"/>
            <a:gd name="connsiteY57" fmla="*/ 991411 h 1031517"/>
            <a:gd name="connsiteX58" fmla="*/ 275723 w 1117934"/>
            <a:gd name="connsiteY58" fmla="*/ 986398 h 1031517"/>
            <a:gd name="connsiteX59" fmla="*/ 280737 w 1117934"/>
            <a:gd name="connsiteY59" fmla="*/ 951306 h 1031517"/>
            <a:gd name="connsiteX60" fmla="*/ 290763 w 1117934"/>
            <a:gd name="connsiteY60" fmla="*/ 936267 h 1031517"/>
            <a:gd name="connsiteX61" fmla="*/ 305802 w 1117934"/>
            <a:gd name="connsiteY61" fmla="*/ 906188 h 1031517"/>
            <a:gd name="connsiteX62" fmla="*/ 290763 w 1117934"/>
            <a:gd name="connsiteY62" fmla="*/ 830990 h 1031517"/>
            <a:gd name="connsiteX63" fmla="*/ 285750 w 1117934"/>
            <a:gd name="connsiteY63" fmla="*/ 815951 h 1031517"/>
            <a:gd name="connsiteX64" fmla="*/ 275723 w 1117934"/>
            <a:gd name="connsiteY64" fmla="*/ 805924 h 1031517"/>
            <a:gd name="connsiteX65" fmla="*/ 245644 w 1117934"/>
            <a:gd name="connsiteY65" fmla="*/ 790885 h 1031517"/>
            <a:gd name="connsiteX66" fmla="*/ 185487 w 1117934"/>
            <a:gd name="connsiteY66" fmla="*/ 785872 h 1031517"/>
            <a:gd name="connsiteX67" fmla="*/ 170447 w 1117934"/>
            <a:gd name="connsiteY67" fmla="*/ 725714 h 1031517"/>
            <a:gd name="connsiteX68" fmla="*/ 150394 w 1117934"/>
            <a:gd name="connsiteY68" fmla="*/ 700648 h 1031517"/>
            <a:gd name="connsiteX69" fmla="*/ 140368 w 1117934"/>
            <a:gd name="connsiteY69" fmla="*/ 685609 h 1031517"/>
            <a:gd name="connsiteX70" fmla="*/ 115302 w 1117934"/>
            <a:gd name="connsiteY70" fmla="*/ 665556 h 1031517"/>
            <a:gd name="connsiteX71" fmla="*/ 100263 w 1117934"/>
            <a:gd name="connsiteY71" fmla="*/ 635477 h 1031517"/>
            <a:gd name="connsiteX72" fmla="*/ 80210 w 1117934"/>
            <a:gd name="connsiteY72" fmla="*/ 610411 h 1031517"/>
            <a:gd name="connsiteX73" fmla="*/ 65171 w 1117934"/>
            <a:gd name="connsiteY73" fmla="*/ 565293 h 1031517"/>
            <a:gd name="connsiteX74" fmla="*/ 60158 w 1117934"/>
            <a:gd name="connsiteY74" fmla="*/ 550253 h 1031517"/>
            <a:gd name="connsiteX75" fmla="*/ 50131 w 1117934"/>
            <a:gd name="connsiteY75" fmla="*/ 540227 h 1031517"/>
            <a:gd name="connsiteX76" fmla="*/ 35092 w 1117934"/>
            <a:gd name="connsiteY76" fmla="*/ 515161 h 1031517"/>
            <a:gd name="connsiteX77" fmla="*/ 30079 w 1117934"/>
            <a:gd name="connsiteY77" fmla="*/ 500122 h 1031517"/>
            <a:gd name="connsiteX78" fmla="*/ 20052 w 1117934"/>
            <a:gd name="connsiteY78" fmla="*/ 485082 h 1031517"/>
            <a:gd name="connsiteX79" fmla="*/ 10026 w 1117934"/>
            <a:gd name="connsiteY79" fmla="*/ 444977 h 1031517"/>
            <a:gd name="connsiteX80" fmla="*/ 0 w 1117934"/>
            <a:gd name="connsiteY80" fmla="*/ 409885 h 1031517"/>
            <a:gd name="connsiteX81" fmla="*/ 5013 w 1117934"/>
            <a:gd name="connsiteY81" fmla="*/ 359753 h 1031517"/>
            <a:gd name="connsiteX82" fmla="*/ 20052 w 1117934"/>
            <a:gd name="connsiteY82" fmla="*/ 354740 h 1031517"/>
            <a:gd name="connsiteX83" fmla="*/ 55144 w 1117934"/>
            <a:gd name="connsiteY83" fmla="*/ 359753 h 1031517"/>
            <a:gd name="connsiteX84" fmla="*/ 65171 w 1117934"/>
            <a:gd name="connsiteY84" fmla="*/ 369780 h 1031517"/>
            <a:gd name="connsiteX85" fmla="*/ 75197 w 1117934"/>
            <a:gd name="connsiteY85" fmla="*/ 384819 h 1031517"/>
            <a:gd name="connsiteX86" fmla="*/ 90237 w 1117934"/>
            <a:gd name="connsiteY86" fmla="*/ 389832 h 1031517"/>
            <a:gd name="connsiteX87" fmla="*/ 120316 w 1117934"/>
            <a:gd name="connsiteY87" fmla="*/ 384819 h 1031517"/>
            <a:gd name="connsiteX88" fmla="*/ 145381 w 1117934"/>
            <a:gd name="connsiteY88" fmla="*/ 359753 h 1031517"/>
            <a:gd name="connsiteX89" fmla="*/ 155408 w 1117934"/>
            <a:gd name="connsiteY89" fmla="*/ 349727 h 1031517"/>
            <a:gd name="connsiteX90" fmla="*/ 175460 w 1117934"/>
            <a:gd name="connsiteY90" fmla="*/ 304609 h 1031517"/>
            <a:gd name="connsiteX91" fmla="*/ 205539 w 1117934"/>
            <a:gd name="connsiteY91" fmla="*/ 294582 h 1031517"/>
            <a:gd name="connsiteX92" fmla="*/ 220579 w 1117934"/>
            <a:gd name="connsiteY92" fmla="*/ 289569 h 1031517"/>
            <a:gd name="connsiteX93" fmla="*/ 230605 w 1117934"/>
            <a:gd name="connsiteY93" fmla="*/ 259490 h 1031517"/>
            <a:gd name="connsiteX94" fmla="*/ 235618 w 1117934"/>
            <a:gd name="connsiteY94" fmla="*/ 244451 h 1031517"/>
            <a:gd name="connsiteX95" fmla="*/ 230605 w 1117934"/>
            <a:gd name="connsiteY95" fmla="*/ 219385 h 1031517"/>
            <a:gd name="connsiteX96" fmla="*/ 220579 w 1117934"/>
            <a:gd name="connsiteY96" fmla="*/ 189306 h 1031517"/>
            <a:gd name="connsiteX97" fmla="*/ 250658 w 1117934"/>
            <a:gd name="connsiteY97" fmla="*/ 164240 h 1031517"/>
            <a:gd name="connsiteX98" fmla="*/ 280737 w 1117934"/>
            <a:gd name="connsiteY98" fmla="*/ 149201 h 1031517"/>
            <a:gd name="connsiteX99" fmla="*/ 285750 w 1117934"/>
            <a:gd name="connsiteY99" fmla="*/ 134161 h 1031517"/>
            <a:gd name="connsiteX100" fmla="*/ 350921 w 1117934"/>
            <a:gd name="connsiteY100" fmla="*/ 129148 h 1031517"/>
            <a:gd name="connsiteX101" fmla="*/ 360947 w 1117934"/>
            <a:gd name="connsiteY101" fmla="*/ 144188 h 1031517"/>
            <a:gd name="connsiteX102" fmla="*/ 396039 w 1117934"/>
            <a:gd name="connsiteY102" fmla="*/ 139174 h 1031517"/>
            <a:gd name="connsiteX103" fmla="*/ 501316 w 1117934"/>
            <a:gd name="connsiteY103" fmla="*/ 144188 h 1031517"/>
            <a:gd name="connsiteX104" fmla="*/ 531394 w 1117934"/>
            <a:gd name="connsiteY104" fmla="*/ 139174 h 1031517"/>
            <a:gd name="connsiteX105" fmla="*/ 591552 w 1117934"/>
            <a:gd name="connsiteY105" fmla="*/ 134161 h 1031517"/>
            <a:gd name="connsiteX106" fmla="*/ 596566 w 1117934"/>
            <a:gd name="connsiteY106" fmla="*/ 119122 h 1031517"/>
            <a:gd name="connsiteX107" fmla="*/ 601579 w 1117934"/>
            <a:gd name="connsiteY107" fmla="*/ 99069 h 1031517"/>
            <a:gd name="connsiteX108" fmla="*/ 666750 w 1117934"/>
            <a:gd name="connsiteY108" fmla="*/ 84030 h 1031517"/>
            <a:gd name="connsiteX109" fmla="*/ 661737 w 1117934"/>
            <a:gd name="connsiteY109" fmla="*/ 58964 h 1031517"/>
            <a:gd name="connsiteX110" fmla="*/ 626644 w 1117934"/>
            <a:gd name="connsiteY110" fmla="*/ 43924 h 1031517"/>
            <a:gd name="connsiteX111" fmla="*/ 711868 w 1117934"/>
            <a:gd name="connsiteY111" fmla="*/ 18859 h 1031517"/>
            <a:gd name="connsiteX112" fmla="*/ 721894 w 1117934"/>
            <a:gd name="connsiteY112" fmla="*/ 48938 h 1031517"/>
            <a:gd name="connsiteX113" fmla="*/ 746960 w 1117934"/>
            <a:gd name="connsiteY113" fmla="*/ 74003 h 1031517"/>
            <a:gd name="connsiteX114" fmla="*/ 756987 w 1117934"/>
            <a:gd name="connsiteY114" fmla="*/ 104082 h 1031517"/>
            <a:gd name="connsiteX115" fmla="*/ 772026 w 1117934"/>
            <a:gd name="connsiteY115" fmla="*/ 114109 h 1031517"/>
            <a:gd name="connsiteX116" fmla="*/ 822158 w 1117934"/>
            <a:gd name="connsiteY116" fmla="*/ 124135 h 1031517"/>
            <a:gd name="connsiteX117" fmla="*/ 837197 w 1117934"/>
            <a:gd name="connsiteY117" fmla="*/ 139174 h 1031517"/>
            <a:gd name="connsiteX118" fmla="*/ 867276 w 1117934"/>
            <a:gd name="connsiteY118" fmla="*/ 149201 h 1031517"/>
            <a:gd name="connsiteX119" fmla="*/ 907381 w 1117934"/>
            <a:gd name="connsiteY119" fmla="*/ 139174 h 1031517"/>
            <a:gd name="connsiteX120" fmla="*/ 917408 w 1117934"/>
            <a:gd name="connsiteY120" fmla="*/ 129148 h 1031517"/>
            <a:gd name="connsiteX121" fmla="*/ 937460 w 1117934"/>
            <a:gd name="connsiteY121" fmla="*/ 99069 h 1031517"/>
            <a:gd name="connsiteX122" fmla="*/ 967539 w 1117934"/>
            <a:gd name="connsiteY122" fmla="*/ 89043 h 1031517"/>
            <a:gd name="connsiteX123" fmla="*/ 1082842 w 1117934"/>
            <a:gd name="connsiteY123" fmla="*/ 94056 h 1031517"/>
            <a:gd name="connsiteX124" fmla="*/ 1092868 w 1117934"/>
            <a:gd name="connsiteY124" fmla="*/ 109095 h 1031517"/>
            <a:gd name="connsiteX125" fmla="*/ 1117934 w 1117934"/>
            <a:gd name="connsiteY125" fmla="*/ 124135 h 103151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</a:cxnLst>
          <a:rect l="l" t="t" r="r" b="b"/>
          <a:pathLst>
            <a:path w="1117934" h="1031517">
              <a:moveTo>
                <a:pt x="1117934" y="124135"/>
              </a:moveTo>
              <a:cubicBezTo>
                <a:pt x="1117934" y="129984"/>
                <a:pt x="1101428" y="137768"/>
                <a:pt x="1092868" y="144188"/>
              </a:cubicBezTo>
              <a:cubicBezTo>
                <a:pt x="1088048" y="147803"/>
                <a:pt x="1082534" y="150450"/>
                <a:pt x="1077829" y="154214"/>
              </a:cubicBezTo>
              <a:cubicBezTo>
                <a:pt x="1074138" y="157167"/>
                <a:pt x="1072362" y="162996"/>
                <a:pt x="1067802" y="164240"/>
              </a:cubicBezTo>
              <a:cubicBezTo>
                <a:pt x="1053203" y="168221"/>
                <a:pt x="1037683" y="167253"/>
                <a:pt x="1022684" y="169253"/>
              </a:cubicBezTo>
              <a:cubicBezTo>
                <a:pt x="996352" y="172764"/>
                <a:pt x="995319" y="173588"/>
                <a:pt x="972552" y="179280"/>
              </a:cubicBezTo>
              <a:cubicBezTo>
                <a:pt x="967539" y="182622"/>
                <a:pt x="963019" y="186859"/>
                <a:pt x="957513" y="189306"/>
              </a:cubicBezTo>
              <a:cubicBezTo>
                <a:pt x="947855" y="193598"/>
                <a:pt x="937460" y="195990"/>
                <a:pt x="927434" y="199332"/>
              </a:cubicBezTo>
              <a:cubicBezTo>
                <a:pt x="904312" y="207039"/>
                <a:pt x="917574" y="203309"/>
                <a:pt x="887329" y="209359"/>
              </a:cubicBezTo>
              <a:cubicBezTo>
                <a:pt x="885658" y="214372"/>
                <a:pt x="886053" y="220662"/>
                <a:pt x="882316" y="224398"/>
              </a:cubicBezTo>
              <a:cubicBezTo>
                <a:pt x="878579" y="228135"/>
                <a:pt x="871807" y="226692"/>
                <a:pt x="867276" y="229411"/>
              </a:cubicBezTo>
              <a:cubicBezTo>
                <a:pt x="863223" y="231843"/>
                <a:pt x="860592" y="236096"/>
                <a:pt x="857250" y="239438"/>
              </a:cubicBezTo>
              <a:cubicBezTo>
                <a:pt x="865839" y="265206"/>
                <a:pt x="855961" y="245829"/>
                <a:pt x="877302" y="264503"/>
              </a:cubicBezTo>
              <a:cubicBezTo>
                <a:pt x="886195" y="272284"/>
                <a:pt x="894013" y="281214"/>
                <a:pt x="902368" y="289569"/>
              </a:cubicBezTo>
              <a:cubicBezTo>
                <a:pt x="907381" y="294582"/>
                <a:pt x="911509" y="300676"/>
                <a:pt x="917408" y="304609"/>
              </a:cubicBezTo>
              <a:lnTo>
                <a:pt x="932447" y="314635"/>
              </a:lnTo>
              <a:lnTo>
                <a:pt x="942473" y="344714"/>
              </a:lnTo>
              <a:lnTo>
                <a:pt x="947487" y="359753"/>
              </a:lnTo>
              <a:cubicBezTo>
                <a:pt x="940564" y="380520"/>
                <a:pt x="931730" y="386968"/>
                <a:pt x="942473" y="404872"/>
              </a:cubicBezTo>
              <a:cubicBezTo>
                <a:pt x="944905" y="408925"/>
                <a:pt x="949158" y="411556"/>
                <a:pt x="952500" y="414898"/>
              </a:cubicBezTo>
              <a:cubicBezTo>
                <a:pt x="954864" y="421989"/>
                <a:pt x="962526" y="443697"/>
                <a:pt x="962526" y="449990"/>
              </a:cubicBezTo>
              <a:cubicBezTo>
                <a:pt x="962526" y="455274"/>
                <a:pt x="961813" y="461958"/>
                <a:pt x="957513" y="465030"/>
              </a:cubicBezTo>
              <a:cubicBezTo>
                <a:pt x="948913" y="471173"/>
                <a:pt x="937687" y="472493"/>
                <a:pt x="927434" y="475056"/>
              </a:cubicBezTo>
              <a:cubicBezTo>
                <a:pt x="902255" y="481351"/>
                <a:pt x="913917" y="477890"/>
                <a:pt x="892342" y="485082"/>
              </a:cubicBezTo>
              <a:cubicBezTo>
                <a:pt x="875744" y="509980"/>
                <a:pt x="879793" y="493427"/>
                <a:pt x="897355" y="505135"/>
              </a:cubicBezTo>
              <a:cubicBezTo>
                <a:pt x="903254" y="509068"/>
                <a:pt x="907381" y="515161"/>
                <a:pt x="912394" y="520174"/>
              </a:cubicBezTo>
              <a:cubicBezTo>
                <a:pt x="914065" y="525187"/>
                <a:pt x="915045" y="530487"/>
                <a:pt x="917408" y="535214"/>
              </a:cubicBezTo>
              <a:cubicBezTo>
                <a:pt x="920102" y="540603"/>
                <a:pt x="926582" y="544289"/>
                <a:pt x="927434" y="550253"/>
              </a:cubicBezTo>
              <a:cubicBezTo>
                <a:pt x="930651" y="572776"/>
                <a:pt x="912855" y="574628"/>
                <a:pt x="902368" y="590359"/>
              </a:cubicBezTo>
              <a:lnTo>
                <a:pt x="892342" y="605398"/>
              </a:lnTo>
              <a:cubicBezTo>
                <a:pt x="885171" y="626913"/>
                <a:pt x="885429" y="617849"/>
                <a:pt x="892342" y="645503"/>
              </a:cubicBezTo>
              <a:cubicBezTo>
                <a:pt x="893624" y="650630"/>
                <a:pt x="894054" y="656416"/>
                <a:pt x="897355" y="660543"/>
              </a:cubicBezTo>
              <a:cubicBezTo>
                <a:pt x="901119" y="665248"/>
                <a:pt x="907381" y="667227"/>
                <a:pt x="912394" y="670569"/>
              </a:cubicBezTo>
              <a:cubicBezTo>
                <a:pt x="922519" y="700940"/>
                <a:pt x="922617" y="694652"/>
                <a:pt x="912394" y="745767"/>
              </a:cubicBezTo>
              <a:cubicBezTo>
                <a:pt x="911212" y="751675"/>
                <a:pt x="905710" y="755793"/>
                <a:pt x="902368" y="760806"/>
              </a:cubicBezTo>
              <a:cubicBezTo>
                <a:pt x="882370" y="757949"/>
                <a:pt x="857291" y="750759"/>
                <a:pt x="837197" y="760806"/>
              </a:cubicBezTo>
              <a:cubicBezTo>
                <a:pt x="831808" y="763500"/>
                <a:pt x="830513" y="770832"/>
                <a:pt x="827171" y="775845"/>
              </a:cubicBezTo>
              <a:cubicBezTo>
                <a:pt x="825500" y="782529"/>
                <a:pt x="827451" y="791487"/>
                <a:pt x="822158" y="795898"/>
              </a:cubicBezTo>
              <a:cubicBezTo>
                <a:pt x="815612" y="801353"/>
                <a:pt x="805410" y="799063"/>
                <a:pt x="797092" y="800911"/>
              </a:cubicBezTo>
              <a:cubicBezTo>
                <a:pt x="790366" y="802406"/>
                <a:pt x="783723" y="804253"/>
                <a:pt x="777039" y="805924"/>
              </a:cubicBezTo>
              <a:cubicBezTo>
                <a:pt x="752826" y="830140"/>
                <a:pt x="782289" y="799363"/>
                <a:pt x="756987" y="830990"/>
              </a:cubicBezTo>
              <a:cubicBezTo>
                <a:pt x="754034" y="834681"/>
                <a:pt x="750302" y="837675"/>
                <a:pt x="746960" y="841017"/>
              </a:cubicBezTo>
              <a:cubicBezTo>
                <a:pt x="748631" y="869425"/>
                <a:pt x="749141" y="897924"/>
                <a:pt x="751973" y="926240"/>
              </a:cubicBezTo>
              <a:cubicBezTo>
                <a:pt x="752499" y="931498"/>
                <a:pt x="756987" y="935995"/>
                <a:pt x="756987" y="941280"/>
              </a:cubicBezTo>
              <a:cubicBezTo>
                <a:pt x="756987" y="953533"/>
                <a:pt x="752618" y="964956"/>
                <a:pt x="741947" y="971359"/>
              </a:cubicBezTo>
              <a:cubicBezTo>
                <a:pt x="737416" y="974078"/>
                <a:pt x="731921" y="974701"/>
                <a:pt x="726908" y="976372"/>
              </a:cubicBezTo>
              <a:cubicBezTo>
                <a:pt x="723566" y="979714"/>
                <a:pt x="720572" y="983445"/>
                <a:pt x="716881" y="986398"/>
              </a:cubicBezTo>
              <a:cubicBezTo>
                <a:pt x="712176" y="990162"/>
                <a:pt x="707231" y="993730"/>
                <a:pt x="701842" y="996424"/>
              </a:cubicBezTo>
              <a:cubicBezTo>
                <a:pt x="676796" y="1008947"/>
                <a:pt x="613971" y="1005990"/>
                <a:pt x="606592" y="1006451"/>
              </a:cubicBezTo>
              <a:cubicBezTo>
                <a:pt x="596566" y="1013135"/>
                <a:pt x="587945" y="1030313"/>
                <a:pt x="576513" y="1026503"/>
              </a:cubicBezTo>
              <a:lnTo>
                <a:pt x="546434" y="1016477"/>
              </a:lnTo>
              <a:cubicBezTo>
                <a:pt x="526381" y="1018148"/>
                <a:pt x="506124" y="1018182"/>
                <a:pt x="486276" y="1021490"/>
              </a:cubicBezTo>
              <a:cubicBezTo>
                <a:pt x="475851" y="1023228"/>
                <a:pt x="456197" y="1031517"/>
                <a:pt x="456197" y="1031517"/>
              </a:cubicBezTo>
              <a:cubicBezTo>
                <a:pt x="441158" y="1029846"/>
                <a:pt x="426005" y="1028991"/>
                <a:pt x="411079" y="1026503"/>
              </a:cubicBezTo>
              <a:cubicBezTo>
                <a:pt x="389136" y="1022846"/>
                <a:pt x="401790" y="1020704"/>
                <a:pt x="381000" y="1011464"/>
              </a:cubicBezTo>
              <a:cubicBezTo>
                <a:pt x="371342" y="1007172"/>
                <a:pt x="360947" y="1004780"/>
                <a:pt x="350921" y="1001438"/>
              </a:cubicBezTo>
              <a:lnTo>
                <a:pt x="335881" y="996424"/>
              </a:lnTo>
              <a:cubicBezTo>
                <a:pt x="330868" y="994753"/>
                <a:pt x="326094" y="991995"/>
                <a:pt x="320842" y="991411"/>
              </a:cubicBezTo>
              <a:lnTo>
                <a:pt x="275723" y="986398"/>
              </a:lnTo>
              <a:cubicBezTo>
                <a:pt x="277394" y="974701"/>
                <a:pt x="277342" y="962624"/>
                <a:pt x="280737" y="951306"/>
              </a:cubicBezTo>
              <a:cubicBezTo>
                <a:pt x="282468" y="945535"/>
                <a:pt x="288069" y="941656"/>
                <a:pt x="290763" y="936267"/>
              </a:cubicBezTo>
              <a:cubicBezTo>
                <a:pt x="311517" y="894757"/>
                <a:pt x="277070" y="949286"/>
                <a:pt x="305802" y="906188"/>
              </a:cubicBezTo>
              <a:cubicBezTo>
                <a:pt x="299622" y="850566"/>
                <a:pt x="305574" y="875424"/>
                <a:pt x="290763" y="830990"/>
              </a:cubicBezTo>
              <a:cubicBezTo>
                <a:pt x="289092" y="825977"/>
                <a:pt x="289486" y="819687"/>
                <a:pt x="285750" y="815951"/>
              </a:cubicBezTo>
              <a:cubicBezTo>
                <a:pt x="282408" y="812609"/>
                <a:pt x="279414" y="808877"/>
                <a:pt x="275723" y="805924"/>
              </a:cubicBezTo>
              <a:cubicBezTo>
                <a:pt x="267273" y="799164"/>
                <a:pt x="256764" y="792368"/>
                <a:pt x="245644" y="790885"/>
              </a:cubicBezTo>
              <a:cubicBezTo>
                <a:pt x="225699" y="788226"/>
                <a:pt x="205539" y="787543"/>
                <a:pt x="185487" y="785872"/>
              </a:cubicBezTo>
              <a:cubicBezTo>
                <a:pt x="160961" y="761346"/>
                <a:pt x="185252" y="789870"/>
                <a:pt x="170447" y="725714"/>
              </a:cubicBezTo>
              <a:cubicBezTo>
                <a:pt x="167944" y="714868"/>
                <a:pt x="156723" y="708559"/>
                <a:pt x="150394" y="700648"/>
              </a:cubicBezTo>
              <a:cubicBezTo>
                <a:pt x="146630" y="695943"/>
                <a:pt x="144132" y="690314"/>
                <a:pt x="140368" y="685609"/>
              </a:cubicBezTo>
              <a:cubicBezTo>
                <a:pt x="132202" y="675401"/>
                <a:pt x="126473" y="673003"/>
                <a:pt x="115302" y="665556"/>
              </a:cubicBezTo>
              <a:cubicBezTo>
                <a:pt x="86570" y="622458"/>
                <a:pt x="121017" y="676987"/>
                <a:pt x="100263" y="635477"/>
              </a:cubicBezTo>
              <a:cubicBezTo>
                <a:pt x="93939" y="622829"/>
                <a:pt x="89535" y="619736"/>
                <a:pt x="80210" y="610411"/>
              </a:cubicBezTo>
              <a:lnTo>
                <a:pt x="65171" y="565293"/>
              </a:lnTo>
              <a:cubicBezTo>
                <a:pt x="63500" y="560280"/>
                <a:pt x="63895" y="553990"/>
                <a:pt x="60158" y="550253"/>
              </a:cubicBezTo>
              <a:lnTo>
                <a:pt x="50131" y="540227"/>
              </a:lnTo>
              <a:cubicBezTo>
                <a:pt x="35930" y="497625"/>
                <a:pt x="55735" y="549568"/>
                <a:pt x="35092" y="515161"/>
              </a:cubicBezTo>
              <a:cubicBezTo>
                <a:pt x="32373" y="510630"/>
                <a:pt x="32442" y="504848"/>
                <a:pt x="30079" y="500122"/>
              </a:cubicBezTo>
              <a:cubicBezTo>
                <a:pt x="27384" y="494733"/>
                <a:pt x="23394" y="490095"/>
                <a:pt x="20052" y="485082"/>
              </a:cubicBezTo>
              <a:cubicBezTo>
                <a:pt x="9860" y="434121"/>
                <a:pt x="20303" y="480947"/>
                <a:pt x="10026" y="444977"/>
              </a:cubicBezTo>
              <a:cubicBezTo>
                <a:pt x="-2561" y="400922"/>
                <a:pt x="12017" y="445937"/>
                <a:pt x="0" y="409885"/>
              </a:cubicBezTo>
              <a:cubicBezTo>
                <a:pt x="1671" y="393174"/>
                <a:pt x="-726" y="375536"/>
                <a:pt x="5013" y="359753"/>
              </a:cubicBezTo>
              <a:cubicBezTo>
                <a:pt x="6819" y="354787"/>
                <a:pt x="14768" y="354740"/>
                <a:pt x="20052" y="354740"/>
              </a:cubicBezTo>
              <a:cubicBezTo>
                <a:pt x="31868" y="354740"/>
                <a:pt x="43447" y="358082"/>
                <a:pt x="55144" y="359753"/>
              </a:cubicBezTo>
              <a:cubicBezTo>
                <a:pt x="58486" y="363095"/>
                <a:pt x="62218" y="366089"/>
                <a:pt x="65171" y="369780"/>
              </a:cubicBezTo>
              <a:cubicBezTo>
                <a:pt x="68935" y="374485"/>
                <a:pt x="70492" y="381055"/>
                <a:pt x="75197" y="384819"/>
              </a:cubicBezTo>
              <a:cubicBezTo>
                <a:pt x="79324" y="388120"/>
                <a:pt x="85224" y="388161"/>
                <a:pt x="90237" y="389832"/>
              </a:cubicBezTo>
              <a:cubicBezTo>
                <a:pt x="100263" y="388161"/>
                <a:pt x="110673" y="388033"/>
                <a:pt x="120316" y="384819"/>
              </a:cubicBezTo>
              <a:cubicBezTo>
                <a:pt x="136724" y="379350"/>
                <a:pt x="135658" y="371907"/>
                <a:pt x="145381" y="359753"/>
              </a:cubicBezTo>
              <a:cubicBezTo>
                <a:pt x="148334" y="356062"/>
                <a:pt x="152066" y="353069"/>
                <a:pt x="155408" y="349727"/>
              </a:cubicBezTo>
              <a:cubicBezTo>
                <a:pt x="157071" y="344737"/>
                <a:pt x="165425" y="310881"/>
                <a:pt x="175460" y="304609"/>
              </a:cubicBezTo>
              <a:cubicBezTo>
                <a:pt x="184422" y="299008"/>
                <a:pt x="195513" y="297924"/>
                <a:pt x="205539" y="294582"/>
              </a:cubicBezTo>
              <a:lnTo>
                <a:pt x="220579" y="289569"/>
              </a:lnTo>
              <a:lnTo>
                <a:pt x="230605" y="259490"/>
              </a:lnTo>
              <a:lnTo>
                <a:pt x="235618" y="244451"/>
              </a:lnTo>
              <a:cubicBezTo>
                <a:pt x="233947" y="236096"/>
                <a:pt x="232847" y="227606"/>
                <a:pt x="230605" y="219385"/>
              </a:cubicBezTo>
              <a:cubicBezTo>
                <a:pt x="227824" y="209189"/>
                <a:pt x="220579" y="189306"/>
                <a:pt x="220579" y="189306"/>
              </a:cubicBezTo>
              <a:cubicBezTo>
                <a:pt x="231666" y="178219"/>
                <a:pt x="236699" y="171220"/>
                <a:pt x="250658" y="164240"/>
              </a:cubicBezTo>
              <a:cubicBezTo>
                <a:pt x="292178" y="143480"/>
                <a:pt x="237624" y="177941"/>
                <a:pt x="280737" y="149201"/>
              </a:cubicBezTo>
              <a:cubicBezTo>
                <a:pt x="282408" y="144188"/>
                <a:pt x="282449" y="138288"/>
                <a:pt x="285750" y="134161"/>
              </a:cubicBezTo>
              <a:cubicBezTo>
                <a:pt x="302226" y="113566"/>
                <a:pt x="329740" y="127030"/>
                <a:pt x="350921" y="129148"/>
              </a:cubicBezTo>
              <a:cubicBezTo>
                <a:pt x="354263" y="134161"/>
                <a:pt x="355065" y="142881"/>
                <a:pt x="360947" y="144188"/>
              </a:cubicBezTo>
              <a:cubicBezTo>
                <a:pt x="372482" y="146751"/>
                <a:pt x="384223" y="139174"/>
                <a:pt x="396039" y="139174"/>
              </a:cubicBezTo>
              <a:cubicBezTo>
                <a:pt x="431171" y="139174"/>
                <a:pt x="466224" y="142517"/>
                <a:pt x="501316" y="144188"/>
              </a:cubicBezTo>
              <a:cubicBezTo>
                <a:pt x="511342" y="142517"/>
                <a:pt x="521292" y="140297"/>
                <a:pt x="531394" y="139174"/>
              </a:cubicBezTo>
              <a:cubicBezTo>
                <a:pt x="551393" y="136952"/>
                <a:pt x="572320" y="140078"/>
                <a:pt x="591552" y="134161"/>
              </a:cubicBezTo>
              <a:cubicBezTo>
                <a:pt x="596603" y="132607"/>
                <a:pt x="595114" y="124203"/>
                <a:pt x="596566" y="119122"/>
              </a:cubicBezTo>
              <a:cubicBezTo>
                <a:pt x="598459" y="112497"/>
                <a:pt x="597757" y="104802"/>
                <a:pt x="601579" y="99069"/>
              </a:cubicBezTo>
              <a:cubicBezTo>
                <a:pt x="613322" y="81454"/>
                <a:pt x="658761" y="84829"/>
                <a:pt x="666750" y="84030"/>
              </a:cubicBezTo>
              <a:cubicBezTo>
                <a:pt x="665079" y="75675"/>
                <a:pt x="665094" y="66796"/>
                <a:pt x="661737" y="58964"/>
              </a:cubicBezTo>
              <a:cubicBezTo>
                <a:pt x="655718" y="44920"/>
                <a:pt x="638257" y="46247"/>
                <a:pt x="626644" y="43924"/>
              </a:cubicBezTo>
              <a:cubicBezTo>
                <a:pt x="634311" y="-2071"/>
                <a:pt x="626130" y="-14485"/>
                <a:pt x="711868" y="18859"/>
              </a:cubicBezTo>
              <a:cubicBezTo>
                <a:pt x="721718" y="22690"/>
                <a:pt x="716031" y="40145"/>
                <a:pt x="721894" y="48938"/>
              </a:cubicBezTo>
              <a:cubicBezTo>
                <a:pt x="735263" y="68990"/>
                <a:pt x="726908" y="60635"/>
                <a:pt x="746960" y="74003"/>
              </a:cubicBezTo>
              <a:cubicBezTo>
                <a:pt x="750302" y="84029"/>
                <a:pt x="748194" y="98219"/>
                <a:pt x="756987" y="104082"/>
              </a:cubicBezTo>
              <a:cubicBezTo>
                <a:pt x="762000" y="107424"/>
                <a:pt x="766637" y="111414"/>
                <a:pt x="772026" y="114109"/>
              </a:cubicBezTo>
              <a:cubicBezTo>
                <a:pt x="786024" y="121108"/>
                <a:pt x="809230" y="122288"/>
                <a:pt x="822158" y="124135"/>
              </a:cubicBezTo>
              <a:cubicBezTo>
                <a:pt x="827171" y="129148"/>
                <a:pt x="831000" y="135731"/>
                <a:pt x="837197" y="139174"/>
              </a:cubicBezTo>
              <a:cubicBezTo>
                <a:pt x="846436" y="144307"/>
                <a:pt x="867276" y="149201"/>
                <a:pt x="867276" y="149201"/>
              </a:cubicBezTo>
              <a:cubicBezTo>
                <a:pt x="872674" y="148122"/>
                <a:pt x="899670" y="143801"/>
                <a:pt x="907381" y="139174"/>
              </a:cubicBezTo>
              <a:cubicBezTo>
                <a:pt x="911434" y="136742"/>
                <a:pt x="914066" y="132490"/>
                <a:pt x="917408" y="129148"/>
              </a:cubicBezTo>
              <a:cubicBezTo>
                <a:pt x="922398" y="109189"/>
                <a:pt x="917986" y="107724"/>
                <a:pt x="937460" y="99069"/>
              </a:cubicBezTo>
              <a:cubicBezTo>
                <a:pt x="947118" y="94777"/>
                <a:pt x="967539" y="89043"/>
                <a:pt x="967539" y="89043"/>
              </a:cubicBezTo>
              <a:cubicBezTo>
                <a:pt x="1005973" y="90714"/>
                <a:pt x="1044854" y="87978"/>
                <a:pt x="1082842" y="94056"/>
              </a:cubicBezTo>
              <a:cubicBezTo>
                <a:pt x="1088791" y="95008"/>
                <a:pt x="1088163" y="105331"/>
                <a:pt x="1092868" y="109095"/>
              </a:cubicBezTo>
              <a:cubicBezTo>
                <a:pt x="1109493" y="122395"/>
                <a:pt x="1117934" y="118286"/>
                <a:pt x="1117934" y="124135"/>
              </a:cubicBezTo>
              <a:close/>
            </a:path>
          </a:pathLst>
        </a:custGeom>
        <a:solidFill>
          <a:srgbClr val="FFFF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35</xdr:col>
      <xdr:colOff>142374</xdr:colOff>
      <xdr:row>18</xdr:row>
      <xdr:rowOff>175461</xdr:rowOff>
    </xdr:from>
    <xdr:to>
      <xdr:col>39</xdr:col>
      <xdr:colOff>27071</xdr:colOff>
      <xdr:row>26</xdr:row>
      <xdr:rowOff>165859</xdr:rowOff>
    </xdr:to>
    <xdr:sp macro="" textlink="">
      <xdr:nvSpPr>
        <xdr:cNvPr id="8" name="Freeform 7"/>
        <xdr:cNvSpPr/>
      </xdr:nvSpPr>
      <xdr:spPr>
        <a:xfrm>
          <a:off x="21021174" y="3604461"/>
          <a:ext cx="2323097" cy="1514398"/>
        </a:xfrm>
        <a:custGeom>
          <a:avLst/>
          <a:gdLst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37987 w 2331118"/>
            <a:gd name="connsiteY47" fmla="*/ 1203157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9697 w 2331118"/>
            <a:gd name="connsiteY74" fmla="*/ 1403684 h 1514398"/>
            <a:gd name="connsiteX75" fmla="*/ 1824789 w 2331118"/>
            <a:gd name="connsiteY75" fmla="*/ 1443789 h 1514398"/>
            <a:gd name="connsiteX76" fmla="*/ 1834816 w 2331118"/>
            <a:gd name="connsiteY76" fmla="*/ 1453815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85210 w 2331118"/>
            <a:gd name="connsiteY108" fmla="*/ 892342 h 1514398"/>
            <a:gd name="connsiteX109" fmla="*/ 2010276 w 2331118"/>
            <a:gd name="connsiteY109" fmla="*/ 872289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4842 w 2331118"/>
            <a:gd name="connsiteY119" fmla="*/ 756986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49592 w 2331118"/>
            <a:gd name="connsiteY126" fmla="*/ 606592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37987 w 2331118"/>
            <a:gd name="connsiteY47" fmla="*/ 1203157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9697 w 2331118"/>
            <a:gd name="connsiteY74" fmla="*/ 1403684 h 1514398"/>
            <a:gd name="connsiteX75" fmla="*/ 1824789 w 2331118"/>
            <a:gd name="connsiteY75" fmla="*/ 1443789 h 1514398"/>
            <a:gd name="connsiteX76" fmla="*/ 1834816 w 2331118"/>
            <a:gd name="connsiteY76" fmla="*/ 1453815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10276 w 2331118"/>
            <a:gd name="connsiteY109" fmla="*/ 872289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4842 w 2331118"/>
            <a:gd name="connsiteY119" fmla="*/ 756986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49592 w 2331118"/>
            <a:gd name="connsiteY126" fmla="*/ 606592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37987 w 2331118"/>
            <a:gd name="connsiteY47" fmla="*/ 1203157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9697 w 2331118"/>
            <a:gd name="connsiteY74" fmla="*/ 1403684 h 1514398"/>
            <a:gd name="connsiteX75" fmla="*/ 1824789 w 2331118"/>
            <a:gd name="connsiteY75" fmla="*/ 1443789 h 1514398"/>
            <a:gd name="connsiteX76" fmla="*/ 1834816 w 2331118"/>
            <a:gd name="connsiteY76" fmla="*/ 1453815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4842 w 2331118"/>
            <a:gd name="connsiteY119" fmla="*/ 756986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49592 w 2331118"/>
            <a:gd name="connsiteY126" fmla="*/ 606592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37987 w 2331118"/>
            <a:gd name="connsiteY47" fmla="*/ 1203157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9697 w 2331118"/>
            <a:gd name="connsiteY74" fmla="*/ 1403684 h 1514398"/>
            <a:gd name="connsiteX75" fmla="*/ 1824789 w 2331118"/>
            <a:gd name="connsiteY75" fmla="*/ 1443789 h 1514398"/>
            <a:gd name="connsiteX76" fmla="*/ 1834816 w 2331118"/>
            <a:gd name="connsiteY76" fmla="*/ 1453815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49592 w 2331118"/>
            <a:gd name="connsiteY126" fmla="*/ 606592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37987 w 2331118"/>
            <a:gd name="connsiteY47" fmla="*/ 1203157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9697 w 2331118"/>
            <a:gd name="connsiteY74" fmla="*/ 1403684 h 1514398"/>
            <a:gd name="connsiteX75" fmla="*/ 1824789 w 2331118"/>
            <a:gd name="connsiteY75" fmla="*/ 1443789 h 1514398"/>
            <a:gd name="connsiteX76" fmla="*/ 1834816 w 2331118"/>
            <a:gd name="connsiteY76" fmla="*/ 1453815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37987 w 2331118"/>
            <a:gd name="connsiteY47" fmla="*/ 1203157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9697 w 2331118"/>
            <a:gd name="connsiteY74" fmla="*/ 1403684 h 1514398"/>
            <a:gd name="connsiteX75" fmla="*/ 1824789 w 2331118"/>
            <a:gd name="connsiteY75" fmla="*/ 1443789 h 1514398"/>
            <a:gd name="connsiteX76" fmla="*/ 1822868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37987 w 2331118"/>
            <a:gd name="connsiteY47" fmla="*/ 1203157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9697 w 2331118"/>
            <a:gd name="connsiteY74" fmla="*/ 1403684 h 1514398"/>
            <a:gd name="connsiteX75" fmla="*/ 1824789 w 2331118"/>
            <a:gd name="connsiteY75" fmla="*/ 1443789 h 1514398"/>
            <a:gd name="connsiteX76" fmla="*/ 1815700 w 2331118"/>
            <a:gd name="connsiteY76" fmla="*/ 1437146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37987 w 2331118"/>
            <a:gd name="connsiteY47" fmla="*/ 1203157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9697 w 2331118"/>
            <a:gd name="connsiteY74" fmla="*/ 1403684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37987 w 2331118"/>
            <a:gd name="connsiteY47" fmla="*/ 1203157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12921 w 2331118"/>
            <a:gd name="connsiteY45" fmla="*/ 1178092 h 1514398"/>
            <a:gd name="connsiteX46" fmla="*/ 1127960 w 2331118"/>
            <a:gd name="connsiteY46" fmla="*/ 1188118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00974 w 2331118"/>
            <a:gd name="connsiteY45" fmla="*/ 1178092 h 1514398"/>
            <a:gd name="connsiteX46" fmla="*/ 1127960 w 2331118"/>
            <a:gd name="connsiteY46" fmla="*/ 1188118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92868 w 2331118"/>
            <a:gd name="connsiteY44" fmla="*/ 1158039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7829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74395 w 2331118"/>
            <a:gd name="connsiteY133" fmla="*/ 355934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693511 w 2331118"/>
            <a:gd name="connsiteY133" fmla="*/ 360696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84421 w 2331118"/>
            <a:gd name="connsiteY132" fmla="*/ 370973 h 1514398"/>
            <a:gd name="connsiteX133" fmla="*/ 1707848 w 2331118"/>
            <a:gd name="connsiteY133" fmla="*/ 365459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82053 w 2331118"/>
            <a:gd name="connsiteY29" fmla="*/ 1012657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96368 w 2331118"/>
            <a:gd name="connsiteY132" fmla="*/ 380498 h 1514398"/>
            <a:gd name="connsiteX133" fmla="*/ 1707848 w 2331118"/>
            <a:gd name="connsiteY133" fmla="*/ 365459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67013 w 2331118"/>
            <a:gd name="connsiteY28" fmla="*/ 1007644 h 1514398"/>
            <a:gd name="connsiteX29" fmla="*/ 765326 w 2331118"/>
            <a:gd name="connsiteY29" fmla="*/ 1015038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96368 w 2331118"/>
            <a:gd name="connsiteY132" fmla="*/ 380498 h 1514398"/>
            <a:gd name="connsiteX133" fmla="*/ 1707848 w 2331118"/>
            <a:gd name="connsiteY133" fmla="*/ 365459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71763 w 2331118"/>
            <a:gd name="connsiteY23" fmla="*/ 877302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47897 w 2331118"/>
            <a:gd name="connsiteY28" fmla="*/ 1007644 h 1514398"/>
            <a:gd name="connsiteX29" fmla="*/ 765326 w 2331118"/>
            <a:gd name="connsiteY29" fmla="*/ 1015038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96368 w 2331118"/>
            <a:gd name="connsiteY132" fmla="*/ 380498 h 1514398"/>
            <a:gd name="connsiteX133" fmla="*/ 1707848 w 2331118"/>
            <a:gd name="connsiteY133" fmla="*/ 365459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64595 w 2331118"/>
            <a:gd name="connsiteY23" fmla="*/ 870158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47897 w 2331118"/>
            <a:gd name="connsiteY28" fmla="*/ 1007644 h 1514398"/>
            <a:gd name="connsiteX29" fmla="*/ 765326 w 2331118"/>
            <a:gd name="connsiteY29" fmla="*/ 1015038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96368 w 2331118"/>
            <a:gd name="connsiteY132" fmla="*/ 380498 h 1514398"/>
            <a:gd name="connsiteX133" fmla="*/ 1707848 w 2331118"/>
            <a:gd name="connsiteY133" fmla="*/ 365459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193131 w 2331118"/>
            <a:gd name="connsiteY143" fmla="*/ 155407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64595 w 2331118"/>
            <a:gd name="connsiteY23" fmla="*/ 870158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47897 w 2331118"/>
            <a:gd name="connsiteY28" fmla="*/ 1007644 h 1514398"/>
            <a:gd name="connsiteX29" fmla="*/ 765326 w 2331118"/>
            <a:gd name="connsiteY29" fmla="*/ 1015038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96368 w 2331118"/>
            <a:gd name="connsiteY132" fmla="*/ 380498 h 1514398"/>
            <a:gd name="connsiteX133" fmla="*/ 1707848 w 2331118"/>
            <a:gd name="connsiteY133" fmla="*/ 365459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53816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202689 w 2331118"/>
            <a:gd name="connsiteY143" fmla="*/ 143500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64595 w 2331118"/>
            <a:gd name="connsiteY23" fmla="*/ 870158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47897 w 2331118"/>
            <a:gd name="connsiteY28" fmla="*/ 1007644 h 1514398"/>
            <a:gd name="connsiteX29" fmla="*/ 765326 w 2331118"/>
            <a:gd name="connsiteY29" fmla="*/ 1015038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96368 w 2331118"/>
            <a:gd name="connsiteY132" fmla="*/ 380498 h 1514398"/>
            <a:gd name="connsiteX133" fmla="*/ 1707848 w 2331118"/>
            <a:gd name="connsiteY133" fmla="*/ 365459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72932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202689 w 2331118"/>
            <a:gd name="connsiteY143" fmla="*/ 143500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71237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  <a:gd name="connsiteX0" fmla="*/ 355934 w 2331118"/>
            <a:gd name="connsiteY0" fmla="*/ 471236 h 1514398"/>
            <a:gd name="connsiteX1" fmla="*/ 350921 w 2331118"/>
            <a:gd name="connsiteY1" fmla="*/ 506328 h 1514398"/>
            <a:gd name="connsiteX2" fmla="*/ 335881 w 2331118"/>
            <a:gd name="connsiteY2" fmla="*/ 511342 h 1514398"/>
            <a:gd name="connsiteX3" fmla="*/ 325855 w 2331118"/>
            <a:gd name="connsiteY3" fmla="*/ 526381 h 1514398"/>
            <a:gd name="connsiteX4" fmla="*/ 330868 w 2331118"/>
            <a:gd name="connsiteY4" fmla="*/ 551447 h 1514398"/>
            <a:gd name="connsiteX5" fmla="*/ 350921 w 2331118"/>
            <a:gd name="connsiteY5" fmla="*/ 571500 h 1514398"/>
            <a:gd name="connsiteX6" fmla="*/ 370974 w 2331118"/>
            <a:gd name="connsiteY6" fmla="*/ 611605 h 1514398"/>
            <a:gd name="connsiteX7" fmla="*/ 381000 w 2331118"/>
            <a:gd name="connsiteY7" fmla="*/ 626644 h 1514398"/>
            <a:gd name="connsiteX8" fmla="*/ 401053 w 2331118"/>
            <a:gd name="connsiteY8" fmla="*/ 646697 h 1514398"/>
            <a:gd name="connsiteX9" fmla="*/ 431131 w 2331118"/>
            <a:gd name="connsiteY9" fmla="*/ 661736 h 1514398"/>
            <a:gd name="connsiteX10" fmla="*/ 441158 w 2331118"/>
            <a:gd name="connsiteY10" fmla="*/ 671763 h 1514398"/>
            <a:gd name="connsiteX11" fmla="*/ 456197 w 2331118"/>
            <a:gd name="connsiteY11" fmla="*/ 681789 h 1514398"/>
            <a:gd name="connsiteX12" fmla="*/ 491289 w 2331118"/>
            <a:gd name="connsiteY12" fmla="*/ 711868 h 1514398"/>
            <a:gd name="connsiteX13" fmla="*/ 506329 w 2331118"/>
            <a:gd name="connsiteY13" fmla="*/ 716881 h 1514398"/>
            <a:gd name="connsiteX14" fmla="*/ 521368 w 2331118"/>
            <a:gd name="connsiteY14" fmla="*/ 731921 h 1514398"/>
            <a:gd name="connsiteX15" fmla="*/ 551447 w 2331118"/>
            <a:gd name="connsiteY15" fmla="*/ 741947 h 1514398"/>
            <a:gd name="connsiteX16" fmla="*/ 586539 w 2331118"/>
            <a:gd name="connsiteY16" fmla="*/ 751973 h 1514398"/>
            <a:gd name="connsiteX17" fmla="*/ 596566 w 2331118"/>
            <a:gd name="connsiteY17" fmla="*/ 762000 h 1514398"/>
            <a:gd name="connsiteX18" fmla="*/ 611605 w 2331118"/>
            <a:gd name="connsiteY18" fmla="*/ 772026 h 1514398"/>
            <a:gd name="connsiteX19" fmla="*/ 621631 w 2331118"/>
            <a:gd name="connsiteY19" fmla="*/ 787065 h 1514398"/>
            <a:gd name="connsiteX20" fmla="*/ 646697 w 2331118"/>
            <a:gd name="connsiteY20" fmla="*/ 812131 h 1514398"/>
            <a:gd name="connsiteX21" fmla="*/ 656724 w 2331118"/>
            <a:gd name="connsiteY21" fmla="*/ 822157 h 1514398"/>
            <a:gd name="connsiteX22" fmla="*/ 666750 w 2331118"/>
            <a:gd name="connsiteY22" fmla="*/ 832184 h 1514398"/>
            <a:gd name="connsiteX23" fmla="*/ 664595 w 2331118"/>
            <a:gd name="connsiteY23" fmla="*/ 870158 h 1514398"/>
            <a:gd name="connsiteX24" fmla="*/ 691816 w 2331118"/>
            <a:gd name="connsiteY24" fmla="*/ 922421 h 1514398"/>
            <a:gd name="connsiteX25" fmla="*/ 706855 w 2331118"/>
            <a:gd name="connsiteY25" fmla="*/ 927434 h 1514398"/>
            <a:gd name="connsiteX26" fmla="*/ 716881 w 2331118"/>
            <a:gd name="connsiteY26" fmla="*/ 942473 h 1514398"/>
            <a:gd name="connsiteX27" fmla="*/ 721895 w 2331118"/>
            <a:gd name="connsiteY27" fmla="*/ 957513 h 1514398"/>
            <a:gd name="connsiteX28" fmla="*/ 747897 w 2331118"/>
            <a:gd name="connsiteY28" fmla="*/ 1007644 h 1514398"/>
            <a:gd name="connsiteX29" fmla="*/ 765326 w 2331118"/>
            <a:gd name="connsiteY29" fmla="*/ 1015038 h 1514398"/>
            <a:gd name="connsiteX30" fmla="*/ 792079 w 2331118"/>
            <a:gd name="connsiteY30" fmla="*/ 1027697 h 1514398"/>
            <a:gd name="connsiteX31" fmla="*/ 817145 w 2331118"/>
            <a:gd name="connsiteY31" fmla="*/ 1012657 h 1514398"/>
            <a:gd name="connsiteX32" fmla="*/ 832184 w 2331118"/>
            <a:gd name="connsiteY32" fmla="*/ 1007644 h 1514398"/>
            <a:gd name="connsiteX33" fmla="*/ 847224 w 2331118"/>
            <a:gd name="connsiteY33" fmla="*/ 1012657 h 1514398"/>
            <a:gd name="connsiteX34" fmla="*/ 857250 w 2331118"/>
            <a:gd name="connsiteY34" fmla="*/ 1022684 h 1514398"/>
            <a:gd name="connsiteX35" fmla="*/ 887329 w 2331118"/>
            <a:gd name="connsiteY35" fmla="*/ 1032710 h 1514398"/>
            <a:gd name="connsiteX36" fmla="*/ 902368 w 2331118"/>
            <a:gd name="connsiteY36" fmla="*/ 1027697 h 1514398"/>
            <a:gd name="connsiteX37" fmla="*/ 907381 w 2331118"/>
            <a:gd name="connsiteY37" fmla="*/ 1012657 h 1514398"/>
            <a:gd name="connsiteX38" fmla="*/ 942474 w 2331118"/>
            <a:gd name="connsiteY38" fmla="*/ 1017671 h 1514398"/>
            <a:gd name="connsiteX39" fmla="*/ 987592 w 2331118"/>
            <a:gd name="connsiteY39" fmla="*/ 1072815 h 1514398"/>
            <a:gd name="connsiteX40" fmla="*/ 1007645 w 2331118"/>
            <a:gd name="connsiteY40" fmla="*/ 1092868 h 1514398"/>
            <a:gd name="connsiteX41" fmla="*/ 1037724 w 2331118"/>
            <a:gd name="connsiteY41" fmla="*/ 1107907 h 1514398"/>
            <a:gd name="connsiteX42" fmla="*/ 1057776 w 2331118"/>
            <a:gd name="connsiteY42" fmla="*/ 1127960 h 1514398"/>
            <a:gd name="connsiteX43" fmla="*/ 1070660 w 2331118"/>
            <a:gd name="connsiteY43" fmla="*/ 1148013 h 1514398"/>
            <a:gd name="connsiteX44" fmla="*/ 1083310 w 2331118"/>
            <a:gd name="connsiteY44" fmla="*/ 1160420 h 1514398"/>
            <a:gd name="connsiteX45" fmla="*/ 1100974 w 2331118"/>
            <a:gd name="connsiteY45" fmla="*/ 1178092 h 1514398"/>
            <a:gd name="connsiteX46" fmla="*/ 1116013 w 2331118"/>
            <a:gd name="connsiteY46" fmla="*/ 1190500 h 1514398"/>
            <a:gd name="connsiteX47" fmla="*/ 1128429 w 2331118"/>
            <a:gd name="connsiteY47" fmla="*/ 1207919 h 1514398"/>
            <a:gd name="connsiteX48" fmla="*/ 1193131 w 2331118"/>
            <a:gd name="connsiteY48" fmla="*/ 1248276 h 1514398"/>
            <a:gd name="connsiteX49" fmla="*/ 1208171 w 2331118"/>
            <a:gd name="connsiteY49" fmla="*/ 1253289 h 1514398"/>
            <a:gd name="connsiteX50" fmla="*/ 1258303 w 2331118"/>
            <a:gd name="connsiteY50" fmla="*/ 1278355 h 1514398"/>
            <a:gd name="connsiteX51" fmla="*/ 1273342 w 2331118"/>
            <a:gd name="connsiteY51" fmla="*/ 1283368 h 1514398"/>
            <a:gd name="connsiteX52" fmla="*/ 1288381 w 2331118"/>
            <a:gd name="connsiteY52" fmla="*/ 1288381 h 1514398"/>
            <a:gd name="connsiteX53" fmla="*/ 1313447 w 2331118"/>
            <a:gd name="connsiteY53" fmla="*/ 1303421 h 1514398"/>
            <a:gd name="connsiteX54" fmla="*/ 1323474 w 2331118"/>
            <a:gd name="connsiteY54" fmla="*/ 1313447 h 1514398"/>
            <a:gd name="connsiteX55" fmla="*/ 1353553 w 2331118"/>
            <a:gd name="connsiteY55" fmla="*/ 1328486 h 1514398"/>
            <a:gd name="connsiteX56" fmla="*/ 1363579 w 2331118"/>
            <a:gd name="connsiteY56" fmla="*/ 1338513 h 1514398"/>
            <a:gd name="connsiteX57" fmla="*/ 1378618 w 2331118"/>
            <a:gd name="connsiteY57" fmla="*/ 1343526 h 1514398"/>
            <a:gd name="connsiteX58" fmla="*/ 1418724 w 2331118"/>
            <a:gd name="connsiteY58" fmla="*/ 1353552 h 1514398"/>
            <a:gd name="connsiteX59" fmla="*/ 1448803 w 2331118"/>
            <a:gd name="connsiteY59" fmla="*/ 1363578 h 1514398"/>
            <a:gd name="connsiteX60" fmla="*/ 1463842 w 2331118"/>
            <a:gd name="connsiteY60" fmla="*/ 1368592 h 1514398"/>
            <a:gd name="connsiteX61" fmla="*/ 1483895 w 2331118"/>
            <a:gd name="connsiteY61" fmla="*/ 1373605 h 1514398"/>
            <a:gd name="connsiteX62" fmla="*/ 1574131 w 2331118"/>
            <a:gd name="connsiteY62" fmla="*/ 1378618 h 1514398"/>
            <a:gd name="connsiteX63" fmla="*/ 1594184 w 2331118"/>
            <a:gd name="connsiteY63" fmla="*/ 1358565 h 1514398"/>
            <a:gd name="connsiteX64" fmla="*/ 1609224 w 2331118"/>
            <a:gd name="connsiteY64" fmla="*/ 1353552 h 1514398"/>
            <a:gd name="connsiteX65" fmla="*/ 1614237 w 2331118"/>
            <a:gd name="connsiteY65" fmla="*/ 1338513 h 1514398"/>
            <a:gd name="connsiteX66" fmla="*/ 1629276 w 2331118"/>
            <a:gd name="connsiteY66" fmla="*/ 1333500 h 1514398"/>
            <a:gd name="connsiteX67" fmla="*/ 1639303 w 2331118"/>
            <a:gd name="connsiteY67" fmla="*/ 1323473 h 1514398"/>
            <a:gd name="connsiteX68" fmla="*/ 1674395 w 2331118"/>
            <a:gd name="connsiteY68" fmla="*/ 1313447 h 1514398"/>
            <a:gd name="connsiteX69" fmla="*/ 1719513 w 2331118"/>
            <a:gd name="connsiteY69" fmla="*/ 1318460 h 1514398"/>
            <a:gd name="connsiteX70" fmla="*/ 1729539 w 2331118"/>
            <a:gd name="connsiteY70" fmla="*/ 1333500 h 1514398"/>
            <a:gd name="connsiteX71" fmla="*/ 1739566 w 2331118"/>
            <a:gd name="connsiteY71" fmla="*/ 1343526 h 1514398"/>
            <a:gd name="connsiteX72" fmla="*/ 1749592 w 2331118"/>
            <a:gd name="connsiteY72" fmla="*/ 1358565 h 1514398"/>
            <a:gd name="connsiteX73" fmla="*/ 1769645 w 2331118"/>
            <a:gd name="connsiteY73" fmla="*/ 1378618 h 1514398"/>
            <a:gd name="connsiteX74" fmla="*/ 1782528 w 2331118"/>
            <a:gd name="connsiteY74" fmla="*/ 1408447 h 1514398"/>
            <a:gd name="connsiteX75" fmla="*/ 1824789 w 2331118"/>
            <a:gd name="connsiteY75" fmla="*/ 1443789 h 1514398"/>
            <a:gd name="connsiteX76" fmla="*/ 1808532 w 2331118"/>
            <a:gd name="connsiteY76" fmla="*/ 1446671 h 1514398"/>
            <a:gd name="connsiteX77" fmla="*/ 1859881 w 2331118"/>
            <a:gd name="connsiteY77" fmla="*/ 1468855 h 1514398"/>
            <a:gd name="connsiteX78" fmla="*/ 1884947 w 2331118"/>
            <a:gd name="connsiteY78" fmla="*/ 1473868 h 1514398"/>
            <a:gd name="connsiteX79" fmla="*/ 1990224 w 2331118"/>
            <a:gd name="connsiteY79" fmla="*/ 1478881 h 1514398"/>
            <a:gd name="connsiteX80" fmla="*/ 2115553 w 2331118"/>
            <a:gd name="connsiteY80" fmla="*/ 1493921 h 1514398"/>
            <a:gd name="connsiteX81" fmla="*/ 2140618 w 2331118"/>
            <a:gd name="connsiteY81" fmla="*/ 1498934 h 1514398"/>
            <a:gd name="connsiteX82" fmla="*/ 2170697 w 2331118"/>
            <a:gd name="connsiteY82" fmla="*/ 1508960 h 1514398"/>
            <a:gd name="connsiteX83" fmla="*/ 2190750 w 2331118"/>
            <a:gd name="connsiteY83" fmla="*/ 1513973 h 1514398"/>
            <a:gd name="connsiteX84" fmla="*/ 2235868 w 2331118"/>
            <a:gd name="connsiteY84" fmla="*/ 1508960 h 1514398"/>
            <a:gd name="connsiteX85" fmla="*/ 2240881 w 2331118"/>
            <a:gd name="connsiteY85" fmla="*/ 1473868 h 1514398"/>
            <a:gd name="connsiteX86" fmla="*/ 2235868 w 2331118"/>
            <a:gd name="connsiteY86" fmla="*/ 1413710 h 1514398"/>
            <a:gd name="connsiteX87" fmla="*/ 2245895 w 2331118"/>
            <a:gd name="connsiteY87" fmla="*/ 1378618 h 1514398"/>
            <a:gd name="connsiteX88" fmla="*/ 2260934 w 2331118"/>
            <a:gd name="connsiteY88" fmla="*/ 1373605 h 1514398"/>
            <a:gd name="connsiteX89" fmla="*/ 2265947 w 2331118"/>
            <a:gd name="connsiteY89" fmla="*/ 1358565 h 1514398"/>
            <a:gd name="connsiteX90" fmla="*/ 2280987 w 2331118"/>
            <a:gd name="connsiteY90" fmla="*/ 1353552 h 1514398"/>
            <a:gd name="connsiteX91" fmla="*/ 2331118 w 2331118"/>
            <a:gd name="connsiteY91" fmla="*/ 1338513 h 1514398"/>
            <a:gd name="connsiteX92" fmla="*/ 2321092 w 2331118"/>
            <a:gd name="connsiteY92" fmla="*/ 1283368 h 1514398"/>
            <a:gd name="connsiteX93" fmla="*/ 2316079 w 2331118"/>
            <a:gd name="connsiteY93" fmla="*/ 1268328 h 1514398"/>
            <a:gd name="connsiteX94" fmla="*/ 2270960 w 2331118"/>
            <a:gd name="connsiteY94" fmla="*/ 1243263 h 1514398"/>
            <a:gd name="connsiteX95" fmla="*/ 2260934 w 2331118"/>
            <a:gd name="connsiteY95" fmla="*/ 1233236 h 1514398"/>
            <a:gd name="connsiteX96" fmla="*/ 2235868 w 2331118"/>
            <a:gd name="connsiteY96" fmla="*/ 1213184 h 1514398"/>
            <a:gd name="connsiteX97" fmla="*/ 2215816 w 2331118"/>
            <a:gd name="connsiteY97" fmla="*/ 1173078 h 1514398"/>
            <a:gd name="connsiteX98" fmla="*/ 2190750 w 2331118"/>
            <a:gd name="connsiteY98" fmla="*/ 1148013 h 1514398"/>
            <a:gd name="connsiteX99" fmla="*/ 2150645 w 2331118"/>
            <a:gd name="connsiteY99" fmla="*/ 1137986 h 1514398"/>
            <a:gd name="connsiteX100" fmla="*/ 2115553 w 2331118"/>
            <a:gd name="connsiteY100" fmla="*/ 1122947 h 1514398"/>
            <a:gd name="connsiteX101" fmla="*/ 2090487 w 2331118"/>
            <a:gd name="connsiteY101" fmla="*/ 1107907 h 1514398"/>
            <a:gd name="connsiteX102" fmla="*/ 2065421 w 2331118"/>
            <a:gd name="connsiteY102" fmla="*/ 1082842 h 1514398"/>
            <a:gd name="connsiteX103" fmla="*/ 2055395 w 2331118"/>
            <a:gd name="connsiteY103" fmla="*/ 1072815 h 1514398"/>
            <a:gd name="connsiteX104" fmla="*/ 2025316 w 2331118"/>
            <a:gd name="connsiteY104" fmla="*/ 1062789 h 1514398"/>
            <a:gd name="connsiteX105" fmla="*/ 2005263 w 2331118"/>
            <a:gd name="connsiteY105" fmla="*/ 1042736 h 1514398"/>
            <a:gd name="connsiteX106" fmla="*/ 1980197 w 2331118"/>
            <a:gd name="connsiteY106" fmla="*/ 1022684 h 1514398"/>
            <a:gd name="connsiteX107" fmla="*/ 1970171 w 2331118"/>
            <a:gd name="connsiteY107" fmla="*/ 992605 h 1514398"/>
            <a:gd name="connsiteX108" fmla="*/ 1997157 w 2331118"/>
            <a:gd name="connsiteY108" fmla="*/ 939967 h 1514398"/>
            <a:gd name="connsiteX109" fmla="*/ 2005498 w 2331118"/>
            <a:gd name="connsiteY109" fmla="*/ 874670 h 1514398"/>
            <a:gd name="connsiteX110" fmla="*/ 2005263 w 2331118"/>
            <a:gd name="connsiteY110" fmla="*/ 847223 h 1514398"/>
            <a:gd name="connsiteX111" fmla="*/ 1975184 w 2331118"/>
            <a:gd name="connsiteY111" fmla="*/ 832184 h 1514398"/>
            <a:gd name="connsiteX112" fmla="*/ 1965158 w 2331118"/>
            <a:gd name="connsiteY112" fmla="*/ 822157 h 1514398"/>
            <a:gd name="connsiteX113" fmla="*/ 1950118 w 2331118"/>
            <a:gd name="connsiteY113" fmla="*/ 817144 h 1514398"/>
            <a:gd name="connsiteX114" fmla="*/ 1915026 w 2331118"/>
            <a:gd name="connsiteY114" fmla="*/ 807118 h 1514398"/>
            <a:gd name="connsiteX115" fmla="*/ 1899987 w 2331118"/>
            <a:gd name="connsiteY115" fmla="*/ 797092 h 1514398"/>
            <a:gd name="connsiteX116" fmla="*/ 1884947 w 2331118"/>
            <a:gd name="connsiteY116" fmla="*/ 792078 h 1514398"/>
            <a:gd name="connsiteX117" fmla="*/ 1869908 w 2331118"/>
            <a:gd name="connsiteY117" fmla="*/ 777039 h 1514398"/>
            <a:gd name="connsiteX118" fmla="*/ 1859881 w 2331118"/>
            <a:gd name="connsiteY118" fmla="*/ 762000 h 1514398"/>
            <a:gd name="connsiteX119" fmla="*/ 1847231 w 2331118"/>
            <a:gd name="connsiteY119" fmla="*/ 747461 h 1514398"/>
            <a:gd name="connsiteX120" fmla="*/ 1834816 w 2331118"/>
            <a:gd name="connsiteY120" fmla="*/ 726907 h 1514398"/>
            <a:gd name="connsiteX121" fmla="*/ 1809750 w 2331118"/>
            <a:gd name="connsiteY121" fmla="*/ 706855 h 1514398"/>
            <a:gd name="connsiteX122" fmla="*/ 1799724 w 2331118"/>
            <a:gd name="connsiteY122" fmla="*/ 696828 h 1514398"/>
            <a:gd name="connsiteX123" fmla="*/ 1784684 w 2331118"/>
            <a:gd name="connsiteY123" fmla="*/ 666750 h 1514398"/>
            <a:gd name="connsiteX124" fmla="*/ 1779671 w 2331118"/>
            <a:gd name="connsiteY124" fmla="*/ 651710 h 1514398"/>
            <a:gd name="connsiteX125" fmla="*/ 1759618 w 2331118"/>
            <a:gd name="connsiteY125" fmla="*/ 621631 h 1514398"/>
            <a:gd name="connsiteX126" fmla="*/ 1756761 w 2331118"/>
            <a:gd name="connsiteY126" fmla="*/ 597067 h 1514398"/>
            <a:gd name="connsiteX127" fmla="*/ 1734553 w 2331118"/>
            <a:gd name="connsiteY127" fmla="*/ 561473 h 1514398"/>
            <a:gd name="connsiteX128" fmla="*/ 1724526 w 2331118"/>
            <a:gd name="connsiteY128" fmla="*/ 531394 h 1514398"/>
            <a:gd name="connsiteX129" fmla="*/ 1714500 w 2331118"/>
            <a:gd name="connsiteY129" fmla="*/ 481263 h 1514398"/>
            <a:gd name="connsiteX130" fmla="*/ 1709487 w 2331118"/>
            <a:gd name="connsiteY130" fmla="*/ 456197 h 1514398"/>
            <a:gd name="connsiteX131" fmla="*/ 1694447 w 2331118"/>
            <a:gd name="connsiteY131" fmla="*/ 416092 h 1514398"/>
            <a:gd name="connsiteX132" fmla="*/ 1696368 w 2331118"/>
            <a:gd name="connsiteY132" fmla="*/ 380498 h 1514398"/>
            <a:gd name="connsiteX133" fmla="*/ 1707848 w 2331118"/>
            <a:gd name="connsiteY133" fmla="*/ 365459 h 1514398"/>
            <a:gd name="connsiteX134" fmla="*/ 1659355 w 2331118"/>
            <a:gd name="connsiteY134" fmla="*/ 310815 h 1514398"/>
            <a:gd name="connsiteX135" fmla="*/ 1629276 w 2331118"/>
            <a:gd name="connsiteY135" fmla="*/ 270710 h 1514398"/>
            <a:gd name="connsiteX136" fmla="*/ 1544053 w 2331118"/>
            <a:gd name="connsiteY136" fmla="*/ 260684 h 1514398"/>
            <a:gd name="connsiteX137" fmla="*/ 1524000 w 2331118"/>
            <a:gd name="connsiteY137" fmla="*/ 250657 h 1514398"/>
            <a:gd name="connsiteX138" fmla="*/ 1472932 w 2331118"/>
            <a:gd name="connsiteY138" fmla="*/ 215565 h 1514398"/>
            <a:gd name="connsiteX139" fmla="*/ 1428750 w 2331118"/>
            <a:gd name="connsiteY139" fmla="*/ 195513 h 1514398"/>
            <a:gd name="connsiteX140" fmla="*/ 1418724 w 2331118"/>
            <a:gd name="connsiteY140" fmla="*/ 185486 h 1514398"/>
            <a:gd name="connsiteX141" fmla="*/ 1378618 w 2331118"/>
            <a:gd name="connsiteY141" fmla="*/ 175460 h 1514398"/>
            <a:gd name="connsiteX142" fmla="*/ 1348539 w 2331118"/>
            <a:gd name="connsiteY142" fmla="*/ 165434 h 1514398"/>
            <a:gd name="connsiteX143" fmla="*/ 1202689 w 2331118"/>
            <a:gd name="connsiteY143" fmla="*/ 143500 h 1514398"/>
            <a:gd name="connsiteX144" fmla="*/ 1107908 w 2331118"/>
            <a:gd name="connsiteY144" fmla="*/ 155407 h 1514398"/>
            <a:gd name="connsiteX145" fmla="*/ 1092868 w 2331118"/>
            <a:gd name="connsiteY145" fmla="*/ 160421 h 1514398"/>
            <a:gd name="connsiteX146" fmla="*/ 1077829 w 2331118"/>
            <a:gd name="connsiteY146" fmla="*/ 170447 h 1514398"/>
            <a:gd name="connsiteX147" fmla="*/ 1032710 w 2331118"/>
            <a:gd name="connsiteY147" fmla="*/ 185486 h 1514398"/>
            <a:gd name="connsiteX148" fmla="*/ 1017671 w 2331118"/>
            <a:gd name="connsiteY148" fmla="*/ 190500 h 1514398"/>
            <a:gd name="connsiteX149" fmla="*/ 997618 w 2331118"/>
            <a:gd name="connsiteY149" fmla="*/ 205539 h 1514398"/>
            <a:gd name="connsiteX150" fmla="*/ 972553 w 2331118"/>
            <a:gd name="connsiteY150" fmla="*/ 225592 h 1514398"/>
            <a:gd name="connsiteX151" fmla="*/ 962526 w 2331118"/>
            <a:gd name="connsiteY151" fmla="*/ 235618 h 1514398"/>
            <a:gd name="connsiteX152" fmla="*/ 932447 w 2331118"/>
            <a:gd name="connsiteY152" fmla="*/ 245644 h 1514398"/>
            <a:gd name="connsiteX153" fmla="*/ 902368 w 2331118"/>
            <a:gd name="connsiteY153" fmla="*/ 260684 h 1514398"/>
            <a:gd name="connsiteX154" fmla="*/ 691816 w 2331118"/>
            <a:gd name="connsiteY154" fmla="*/ 255671 h 1514398"/>
            <a:gd name="connsiteX155" fmla="*/ 676776 w 2331118"/>
            <a:gd name="connsiteY155" fmla="*/ 245644 h 1514398"/>
            <a:gd name="connsiteX156" fmla="*/ 661737 w 2331118"/>
            <a:gd name="connsiteY156" fmla="*/ 240631 h 1514398"/>
            <a:gd name="connsiteX157" fmla="*/ 616618 w 2331118"/>
            <a:gd name="connsiteY157" fmla="*/ 230605 h 1514398"/>
            <a:gd name="connsiteX158" fmla="*/ 596566 w 2331118"/>
            <a:gd name="connsiteY158" fmla="*/ 225592 h 1514398"/>
            <a:gd name="connsiteX159" fmla="*/ 566487 w 2331118"/>
            <a:gd name="connsiteY159" fmla="*/ 215565 h 1514398"/>
            <a:gd name="connsiteX160" fmla="*/ 526381 w 2331118"/>
            <a:gd name="connsiteY160" fmla="*/ 195513 h 1514398"/>
            <a:gd name="connsiteX161" fmla="*/ 511342 w 2331118"/>
            <a:gd name="connsiteY161" fmla="*/ 190500 h 1514398"/>
            <a:gd name="connsiteX162" fmla="*/ 486276 w 2331118"/>
            <a:gd name="connsiteY162" fmla="*/ 175460 h 1514398"/>
            <a:gd name="connsiteX163" fmla="*/ 487964 w 2331118"/>
            <a:gd name="connsiteY163" fmla="*/ 160421 h 1514398"/>
            <a:gd name="connsiteX164" fmla="*/ 441158 w 2331118"/>
            <a:gd name="connsiteY164" fmla="*/ 145381 h 1514398"/>
            <a:gd name="connsiteX165" fmla="*/ 421105 w 2331118"/>
            <a:gd name="connsiteY165" fmla="*/ 125328 h 1514398"/>
            <a:gd name="connsiteX166" fmla="*/ 391026 w 2331118"/>
            <a:gd name="connsiteY166" fmla="*/ 100263 h 1514398"/>
            <a:gd name="connsiteX167" fmla="*/ 365960 w 2331118"/>
            <a:gd name="connsiteY167" fmla="*/ 75197 h 1514398"/>
            <a:gd name="connsiteX168" fmla="*/ 370974 w 2331118"/>
            <a:gd name="connsiteY168" fmla="*/ 50131 h 1514398"/>
            <a:gd name="connsiteX169" fmla="*/ 365960 w 2331118"/>
            <a:gd name="connsiteY169" fmla="*/ 15039 h 1514398"/>
            <a:gd name="connsiteX170" fmla="*/ 330868 w 2331118"/>
            <a:gd name="connsiteY170" fmla="*/ 0 h 1514398"/>
            <a:gd name="connsiteX171" fmla="*/ 275724 w 2331118"/>
            <a:gd name="connsiteY171" fmla="*/ 5013 h 1514398"/>
            <a:gd name="connsiteX172" fmla="*/ 255671 w 2331118"/>
            <a:gd name="connsiteY172" fmla="*/ 30078 h 1514398"/>
            <a:gd name="connsiteX173" fmla="*/ 240631 w 2331118"/>
            <a:gd name="connsiteY173" fmla="*/ 35092 h 1514398"/>
            <a:gd name="connsiteX174" fmla="*/ 205539 w 2331118"/>
            <a:gd name="connsiteY174" fmla="*/ 65171 h 1514398"/>
            <a:gd name="connsiteX175" fmla="*/ 190500 w 2331118"/>
            <a:gd name="connsiteY175" fmla="*/ 70184 h 1514398"/>
            <a:gd name="connsiteX176" fmla="*/ 155408 w 2331118"/>
            <a:gd name="connsiteY176" fmla="*/ 65171 h 1514398"/>
            <a:gd name="connsiteX177" fmla="*/ 125329 w 2331118"/>
            <a:gd name="connsiteY177" fmla="*/ 50131 h 1514398"/>
            <a:gd name="connsiteX178" fmla="*/ 90237 w 2331118"/>
            <a:gd name="connsiteY178" fmla="*/ 45118 h 1514398"/>
            <a:gd name="connsiteX179" fmla="*/ 70184 w 2331118"/>
            <a:gd name="connsiteY179" fmla="*/ 25065 h 1514398"/>
            <a:gd name="connsiteX180" fmla="*/ 40105 w 2331118"/>
            <a:gd name="connsiteY180" fmla="*/ 10026 h 1514398"/>
            <a:gd name="connsiteX181" fmla="*/ 15039 w 2331118"/>
            <a:gd name="connsiteY181" fmla="*/ 15039 h 1514398"/>
            <a:gd name="connsiteX182" fmla="*/ 0 w 2331118"/>
            <a:gd name="connsiteY182" fmla="*/ 45118 h 1514398"/>
            <a:gd name="connsiteX183" fmla="*/ 10026 w 2331118"/>
            <a:gd name="connsiteY183" fmla="*/ 60157 h 1514398"/>
            <a:gd name="connsiteX184" fmla="*/ 30079 w 2331118"/>
            <a:gd name="connsiteY184" fmla="*/ 100263 h 1514398"/>
            <a:gd name="connsiteX185" fmla="*/ 45118 w 2331118"/>
            <a:gd name="connsiteY185" fmla="*/ 105276 h 1514398"/>
            <a:gd name="connsiteX186" fmla="*/ 65171 w 2331118"/>
            <a:gd name="connsiteY186" fmla="*/ 135355 h 1514398"/>
            <a:gd name="connsiteX187" fmla="*/ 75197 w 2331118"/>
            <a:gd name="connsiteY187" fmla="*/ 165434 h 1514398"/>
            <a:gd name="connsiteX188" fmla="*/ 80210 w 2331118"/>
            <a:gd name="connsiteY188" fmla="*/ 180473 h 1514398"/>
            <a:gd name="connsiteX189" fmla="*/ 110289 w 2331118"/>
            <a:gd name="connsiteY189" fmla="*/ 220578 h 1514398"/>
            <a:gd name="connsiteX190" fmla="*/ 120316 w 2331118"/>
            <a:gd name="connsiteY190" fmla="*/ 240631 h 1514398"/>
            <a:gd name="connsiteX191" fmla="*/ 125329 w 2331118"/>
            <a:gd name="connsiteY191" fmla="*/ 255671 h 1514398"/>
            <a:gd name="connsiteX192" fmla="*/ 135355 w 2331118"/>
            <a:gd name="connsiteY192" fmla="*/ 270710 h 1514398"/>
            <a:gd name="connsiteX193" fmla="*/ 140368 w 2331118"/>
            <a:gd name="connsiteY193" fmla="*/ 285750 h 1514398"/>
            <a:gd name="connsiteX194" fmla="*/ 180474 w 2331118"/>
            <a:gd name="connsiteY194" fmla="*/ 320842 h 1514398"/>
            <a:gd name="connsiteX195" fmla="*/ 200526 w 2331118"/>
            <a:gd name="connsiteY195" fmla="*/ 335881 h 1514398"/>
            <a:gd name="connsiteX196" fmla="*/ 230605 w 2331118"/>
            <a:gd name="connsiteY196" fmla="*/ 345907 h 1514398"/>
            <a:gd name="connsiteX197" fmla="*/ 270710 w 2331118"/>
            <a:gd name="connsiteY197" fmla="*/ 375986 h 1514398"/>
            <a:gd name="connsiteX198" fmla="*/ 280737 w 2331118"/>
            <a:gd name="connsiteY198" fmla="*/ 386013 h 1514398"/>
            <a:gd name="connsiteX199" fmla="*/ 315829 w 2331118"/>
            <a:gd name="connsiteY199" fmla="*/ 411078 h 1514398"/>
            <a:gd name="connsiteX200" fmla="*/ 325855 w 2331118"/>
            <a:gd name="connsiteY200" fmla="*/ 426118 h 1514398"/>
            <a:gd name="connsiteX201" fmla="*/ 355934 w 2331118"/>
            <a:gd name="connsiteY201" fmla="*/ 446171 h 1514398"/>
            <a:gd name="connsiteX202" fmla="*/ 355934 w 2331118"/>
            <a:gd name="connsiteY202" fmla="*/ 471236 h 151439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  <a:cxn ang="0">
              <a:pos x="connsiteX196" y="connsiteY196"/>
            </a:cxn>
            <a:cxn ang="0">
              <a:pos x="connsiteX197" y="connsiteY197"/>
            </a:cxn>
            <a:cxn ang="0">
              <a:pos x="connsiteX198" y="connsiteY198"/>
            </a:cxn>
            <a:cxn ang="0">
              <a:pos x="connsiteX199" y="connsiteY199"/>
            </a:cxn>
            <a:cxn ang="0">
              <a:pos x="connsiteX200" y="connsiteY200"/>
            </a:cxn>
            <a:cxn ang="0">
              <a:pos x="connsiteX201" y="connsiteY201"/>
            </a:cxn>
            <a:cxn ang="0">
              <a:pos x="connsiteX202" y="connsiteY202"/>
            </a:cxn>
          </a:cxnLst>
          <a:rect l="l" t="t" r="r" b="b"/>
          <a:pathLst>
            <a:path w="2331118" h="1514398">
              <a:moveTo>
                <a:pt x="355934" y="471236"/>
              </a:moveTo>
              <a:cubicBezTo>
                <a:pt x="354263" y="482933"/>
                <a:pt x="356205" y="495759"/>
                <a:pt x="350921" y="506328"/>
              </a:cubicBezTo>
              <a:cubicBezTo>
                <a:pt x="348558" y="511055"/>
                <a:pt x="340008" y="508041"/>
                <a:pt x="335881" y="511342"/>
              </a:cubicBezTo>
              <a:cubicBezTo>
                <a:pt x="331176" y="515106"/>
                <a:pt x="329197" y="521368"/>
                <a:pt x="325855" y="526381"/>
              </a:cubicBezTo>
              <a:cubicBezTo>
                <a:pt x="327526" y="534736"/>
                <a:pt x="326730" y="543998"/>
                <a:pt x="330868" y="551447"/>
              </a:cubicBezTo>
              <a:cubicBezTo>
                <a:pt x="335459" y="559710"/>
                <a:pt x="350921" y="571500"/>
                <a:pt x="350921" y="571500"/>
              </a:cubicBezTo>
              <a:cubicBezTo>
                <a:pt x="368031" y="622830"/>
                <a:pt x="350974" y="586606"/>
                <a:pt x="370974" y="611605"/>
              </a:cubicBezTo>
              <a:cubicBezTo>
                <a:pt x="374738" y="616310"/>
                <a:pt x="377079" y="622070"/>
                <a:pt x="381000" y="626644"/>
              </a:cubicBezTo>
              <a:cubicBezTo>
                <a:pt x="387152" y="633821"/>
                <a:pt x="392085" y="643708"/>
                <a:pt x="401053" y="646697"/>
              </a:cubicBezTo>
              <a:cubicBezTo>
                <a:pt x="416937" y="651992"/>
                <a:pt x="417249" y="650630"/>
                <a:pt x="431131" y="661736"/>
              </a:cubicBezTo>
              <a:cubicBezTo>
                <a:pt x="434822" y="664689"/>
                <a:pt x="437467" y="668810"/>
                <a:pt x="441158" y="671763"/>
              </a:cubicBezTo>
              <a:cubicBezTo>
                <a:pt x="445863" y="675527"/>
                <a:pt x="451623" y="677868"/>
                <a:pt x="456197" y="681789"/>
              </a:cubicBezTo>
              <a:cubicBezTo>
                <a:pt x="473463" y="696589"/>
                <a:pt x="472876" y="702662"/>
                <a:pt x="491289" y="711868"/>
              </a:cubicBezTo>
              <a:cubicBezTo>
                <a:pt x="496016" y="714231"/>
                <a:pt x="501316" y="715210"/>
                <a:pt x="506329" y="716881"/>
              </a:cubicBezTo>
              <a:cubicBezTo>
                <a:pt x="511342" y="721894"/>
                <a:pt x="515171" y="728478"/>
                <a:pt x="521368" y="731921"/>
              </a:cubicBezTo>
              <a:cubicBezTo>
                <a:pt x="530607" y="737054"/>
                <a:pt x="541194" y="739384"/>
                <a:pt x="551447" y="741947"/>
              </a:cubicBezTo>
              <a:cubicBezTo>
                <a:pt x="576626" y="748242"/>
                <a:pt x="564964" y="744781"/>
                <a:pt x="586539" y="751973"/>
              </a:cubicBezTo>
              <a:cubicBezTo>
                <a:pt x="589881" y="755315"/>
                <a:pt x="592875" y="759047"/>
                <a:pt x="596566" y="762000"/>
              </a:cubicBezTo>
              <a:cubicBezTo>
                <a:pt x="601271" y="765764"/>
                <a:pt x="607345" y="767766"/>
                <a:pt x="611605" y="772026"/>
              </a:cubicBezTo>
              <a:cubicBezTo>
                <a:pt x="615865" y="776286"/>
                <a:pt x="617664" y="782531"/>
                <a:pt x="621631" y="787065"/>
              </a:cubicBezTo>
              <a:cubicBezTo>
                <a:pt x="629412" y="795958"/>
                <a:pt x="638342" y="803776"/>
                <a:pt x="646697" y="812131"/>
              </a:cubicBezTo>
              <a:lnTo>
                <a:pt x="656724" y="822157"/>
              </a:lnTo>
              <a:lnTo>
                <a:pt x="666750" y="832184"/>
              </a:lnTo>
              <a:cubicBezTo>
                <a:pt x="678447" y="867276"/>
                <a:pt x="672950" y="845093"/>
                <a:pt x="664595" y="870158"/>
              </a:cubicBezTo>
              <a:cubicBezTo>
                <a:pt x="667659" y="879352"/>
                <a:pt x="684773" y="912875"/>
                <a:pt x="691816" y="922421"/>
              </a:cubicBezTo>
              <a:cubicBezTo>
                <a:pt x="698859" y="931967"/>
                <a:pt x="701842" y="925763"/>
                <a:pt x="706855" y="927434"/>
              </a:cubicBezTo>
              <a:cubicBezTo>
                <a:pt x="710197" y="932447"/>
                <a:pt x="714187" y="937084"/>
                <a:pt x="716881" y="942473"/>
              </a:cubicBezTo>
              <a:cubicBezTo>
                <a:pt x="719244" y="947200"/>
                <a:pt x="716726" y="946651"/>
                <a:pt x="721895" y="957513"/>
              </a:cubicBezTo>
              <a:cubicBezTo>
                <a:pt x="727064" y="968375"/>
                <a:pt x="740659" y="998057"/>
                <a:pt x="747897" y="1007644"/>
              </a:cubicBezTo>
              <a:cubicBezTo>
                <a:pt x="755135" y="1017231"/>
                <a:pt x="760313" y="1013367"/>
                <a:pt x="765326" y="1015038"/>
              </a:cubicBezTo>
              <a:cubicBezTo>
                <a:pt x="768668" y="1020051"/>
                <a:pt x="783443" y="1028094"/>
                <a:pt x="792079" y="1027697"/>
              </a:cubicBezTo>
              <a:cubicBezTo>
                <a:pt x="800715" y="1027300"/>
                <a:pt x="810683" y="1016534"/>
                <a:pt x="817145" y="1012657"/>
              </a:cubicBezTo>
              <a:cubicBezTo>
                <a:pt x="821676" y="1009938"/>
                <a:pt x="827171" y="1009315"/>
                <a:pt x="832184" y="1007644"/>
              </a:cubicBezTo>
              <a:cubicBezTo>
                <a:pt x="837197" y="1009315"/>
                <a:pt x="842693" y="1009938"/>
                <a:pt x="847224" y="1012657"/>
              </a:cubicBezTo>
              <a:cubicBezTo>
                <a:pt x="851277" y="1015089"/>
                <a:pt x="853022" y="1020570"/>
                <a:pt x="857250" y="1022684"/>
              </a:cubicBezTo>
              <a:cubicBezTo>
                <a:pt x="866703" y="1027411"/>
                <a:pt x="887329" y="1032710"/>
                <a:pt x="887329" y="1032710"/>
              </a:cubicBezTo>
              <a:cubicBezTo>
                <a:pt x="892342" y="1031039"/>
                <a:pt x="898632" y="1031434"/>
                <a:pt x="902368" y="1027697"/>
              </a:cubicBezTo>
              <a:cubicBezTo>
                <a:pt x="906105" y="1023960"/>
                <a:pt x="902254" y="1013939"/>
                <a:pt x="907381" y="1012657"/>
              </a:cubicBezTo>
              <a:cubicBezTo>
                <a:pt x="918845" y="1009791"/>
                <a:pt x="930776" y="1016000"/>
                <a:pt x="942474" y="1017671"/>
              </a:cubicBezTo>
              <a:cubicBezTo>
                <a:pt x="969083" y="1057586"/>
                <a:pt x="954002" y="1039225"/>
                <a:pt x="987592" y="1072815"/>
              </a:cubicBezTo>
              <a:lnTo>
                <a:pt x="1007645" y="1092868"/>
              </a:lnTo>
              <a:cubicBezTo>
                <a:pt x="1028400" y="1099786"/>
                <a:pt x="1018287" y="1094950"/>
                <a:pt x="1037724" y="1107907"/>
              </a:cubicBezTo>
              <a:cubicBezTo>
                <a:pt x="1047750" y="1137987"/>
                <a:pt x="1052287" y="1121276"/>
                <a:pt x="1057776" y="1127960"/>
              </a:cubicBezTo>
              <a:cubicBezTo>
                <a:pt x="1063265" y="1134644"/>
                <a:pt x="1066404" y="1142603"/>
                <a:pt x="1070660" y="1148013"/>
              </a:cubicBezTo>
              <a:cubicBezTo>
                <a:pt x="1074916" y="1153423"/>
                <a:pt x="1078258" y="1155407"/>
                <a:pt x="1083310" y="1160420"/>
              </a:cubicBezTo>
              <a:cubicBezTo>
                <a:pt x="1088362" y="1165433"/>
                <a:pt x="1093109" y="1172848"/>
                <a:pt x="1100974" y="1178092"/>
              </a:cubicBezTo>
              <a:lnTo>
                <a:pt x="1116013" y="1190500"/>
              </a:lnTo>
              <a:cubicBezTo>
                <a:pt x="1119355" y="1195513"/>
                <a:pt x="1115576" y="1198290"/>
                <a:pt x="1128429" y="1207919"/>
              </a:cubicBezTo>
              <a:cubicBezTo>
                <a:pt x="1141282" y="1217548"/>
                <a:pt x="1175701" y="1242466"/>
                <a:pt x="1193131" y="1248276"/>
              </a:cubicBezTo>
              <a:lnTo>
                <a:pt x="1208171" y="1253289"/>
              </a:lnTo>
              <a:cubicBezTo>
                <a:pt x="1236679" y="1274669"/>
                <a:pt x="1220298" y="1265686"/>
                <a:pt x="1258303" y="1278355"/>
              </a:cubicBezTo>
              <a:lnTo>
                <a:pt x="1273342" y="1283368"/>
              </a:lnTo>
              <a:lnTo>
                <a:pt x="1288381" y="1288381"/>
              </a:lnTo>
              <a:cubicBezTo>
                <a:pt x="1313787" y="1313785"/>
                <a:pt x="1280908" y="1283897"/>
                <a:pt x="1313447" y="1303421"/>
              </a:cubicBezTo>
              <a:cubicBezTo>
                <a:pt x="1317500" y="1305853"/>
                <a:pt x="1319783" y="1310494"/>
                <a:pt x="1323474" y="1313447"/>
              </a:cubicBezTo>
              <a:cubicBezTo>
                <a:pt x="1337358" y="1324554"/>
                <a:pt x="1337667" y="1323191"/>
                <a:pt x="1353553" y="1328486"/>
              </a:cubicBezTo>
              <a:cubicBezTo>
                <a:pt x="1356895" y="1331828"/>
                <a:pt x="1359526" y="1336081"/>
                <a:pt x="1363579" y="1338513"/>
              </a:cubicBezTo>
              <a:cubicBezTo>
                <a:pt x="1368110" y="1341232"/>
                <a:pt x="1373520" y="1342136"/>
                <a:pt x="1378618" y="1343526"/>
              </a:cubicBezTo>
              <a:cubicBezTo>
                <a:pt x="1391913" y="1347152"/>
                <a:pt x="1405651" y="1349194"/>
                <a:pt x="1418724" y="1353552"/>
              </a:cubicBezTo>
              <a:lnTo>
                <a:pt x="1448803" y="1363578"/>
              </a:lnTo>
              <a:cubicBezTo>
                <a:pt x="1453816" y="1365249"/>
                <a:pt x="1458715" y="1367310"/>
                <a:pt x="1463842" y="1368592"/>
              </a:cubicBezTo>
              <a:lnTo>
                <a:pt x="1483895" y="1373605"/>
              </a:lnTo>
              <a:cubicBezTo>
                <a:pt x="1515720" y="1394822"/>
                <a:pt x="1510084" y="1395473"/>
                <a:pt x="1574131" y="1378618"/>
              </a:cubicBezTo>
              <a:cubicBezTo>
                <a:pt x="1583273" y="1376212"/>
                <a:pt x="1585216" y="1361554"/>
                <a:pt x="1594184" y="1358565"/>
              </a:cubicBezTo>
              <a:lnTo>
                <a:pt x="1609224" y="1353552"/>
              </a:lnTo>
              <a:cubicBezTo>
                <a:pt x="1610895" y="1348539"/>
                <a:pt x="1610501" y="1342249"/>
                <a:pt x="1614237" y="1338513"/>
              </a:cubicBezTo>
              <a:cubicBezTo>
                <a:pt x="1617973" y="1334777"/>
                <a:pt x="1624745" y="1336219"/>
                <a:pt x="1629276" y="1333500"/>
              </a:cubicBezTo>
              <a:cubicBezTo>
                <a:pt x="1633329" y="1331068"/>
                <a:pt x="1635250" y="1325905"/>
                <a:pt x="1639303" y="1323473"/>
              </a:cubicBezTo>
              <a:cubicBezTo>
                <a:pt x="1644440" y="1320390"/>
                <a:pt x="1670649" y="1314383"/>
                <a:pt x="1674395" y="1313447"/>
              </a:cubicBezTo>
              <a:cubicBezTo>
                <a:pt x="1689434" y="1315118"/>
                <a:pt x="1705292" y="1313289"/>
                <a:pt x="1719513" y="1318460"/>
              </a:cubicBezTo>
              <a:cubicBezTo>
                <a:pt x="1725175" y="1320519"/>
                <a:pt x="1725775" y="1328795"/>
                <a:pt x="1729539" y="1333500"/>
              </a:cubicBezTo>
              <a:cubicBezTo>
                <a:pt x="1732492" y="1337191"/>
                <a:pt x="1736613" y="1339835"/>
                <a:pt x="1739566" y="1343526"/>
              </a:cubicBezTo>
              <a:cubicBezTo>
                <a:pt x="1743330" y="1348231"/>
                <a:pt x="1745671" y="1353991"/>
                <a:pt x="1749592" y="1358565"/>
              </a:cubicBezTo>
              <a:cubicBezTo>
                <a:pt x="1755744" y="1365742"/>
                <a:pt x="1764156" y="1370304"/>
                <a:pt x="1769645" y="1378618"/>
              </a:cubicBezTo>
              <a:cubicBezTo>
                <a:pt x="1775134" y="1386932"/>
                <a:pt x="1753963" y="1372741"/>
                <a:pt x="1782528" y="1408447"/>
              </a:cubicBezTo>
              <a:cubicBezTo>
                <a:pt x="1815681" y="1449888"/>
                <a:pt x="1820455" y="1437418"/>
                <a:pt x="1824789" y="1443789"/>
              </a:cubicBezTo>
              <a:cubicBezTo>
                <a:pt x="1829123" y="1450160"/>
                <a:pt x="1804479" y="1444239"/>
                <a:pt x="1808532" y="1446671"/>
              </a:cubicBezTo>
              <a:cubicBezTo>
                <a:pt x="1816887" y="1451684"/>
                <a:pt x="1847145" y="1464322"/>
                <a:pt x="1859881" y="1468855"/>
              </a:cubicBezTo>
              <a:cubicBezTo>
                <a:pt x="1872617" y="1473388"/>
                <a:pt x="1876451" y="1473215"/>
                <a:pt x="1884947" y="1473868"/>
              </a:cubicBezTo>
              <a:cubicBezTo>
                <a:pt x="1919976" y="1476562"/>
                <a:pt x="1955132" y="1477210"/>
                <a:pt x="1990224" y="1478881"/>
              </a:cubicBezTo>
              <a:cubicBezTo>
                <a:pt x="2078680" y="1491517"/>
                <a:pt x="2036873" y="1486767"/>
                <a:pt x="2115553" y="1493921"/>
              </a:cubicBezTo>
              <a:cubicBezTo>
                <a:pt x="2123908" y="1495592"/>
                <a:pt x="2132398" y="1496692"/>
                <a:pt x="2140618" y="1498934"/>
              </a:cubicBezTo>
              <a:cubicBezTo>
                <a:pt x="2150814" y="1501715"/>
                <a:pt x="2160444" y="1506397"/>
                <a:pt x="2170697" y="1508960"/>
              </a:cubicBezTo>
              <a:lnTo>
                <a:pt x="2190750" y="1513973"/>
              </a:lnTo>
              <a:cubicBezTo>
                <a:pt x="2205789" y="1512302"/>
                <a:pt x="2224052" y="1518413"/>
                <a:pt x="2235868" y="1508960"/>
              </a:cubicBezTo>
              <a:cubicBezTo>
                <a:pt x="2245095" y="1501579"/>
                <a:pt x="2240881" y="1485684"/>
                <a:pt x="2240881" y="1473868"/>
              </a:cubicBezTo>
              <a:cubicBezTo>
                <a:pt x="2240881" y="1453746"/>
                <a:pt x="2237539" y="1433763"/>
                <a:pt x="2235868" y="1413710"/>
              </a:cubicBezTo>
              <a:cubicBezTo>
                <a:pt x="2235912" y="1413534"/>
                <a:pt x="2243496" y="1381017"/>
                <a:pt x="2245895" y="1378618"/>
              </a:cubicBezTo>
              <a:cubicBezTo>
                <a:pt x="2249632" y="1374882"/>
                <a:pt x="2255921" y="1375276"/>
                <a:pt x="2260934" y="1373605"/>
              </a:cubicBezTo>
              <a:cubicBezTo>
                <a:pt x="2262605" y="1368592"/>
                <a:pt x="2262210" y="1362302"/>
                <a:pt x="2265947" y="1358565"/>
              </a:cubicBezTo>
              <a:cubicBezTo>
                <a:pt x="2269684" y="1354828"/>
                <a:pt x="2276260" y="1355915"/>
                <a:pt x="2280987" y="1353552"/>
              </a:cubicBezTo>
              <a:cubicBezTo>
                <a:pt x="2317465" y="1335313"/>
                <a:pt x="2267296" y="1347630"/>
                <a:pt x="2331118" y="1338513"/>
              </a:cubicBezTo>
              <a:cubicBezTo>
                <a:pt x="2316257" y="1279065"/>
                <a:pt x="2339054" y="1373182"/>
                <a:pt x="2321092" y="1283368"/>
              </a:cubicBezTo>
              <a:cubicBezTo>
                <a:pt x="2320056" y="1278186"/>
                <a:pt x="2319816" y="1272065"/>
                <a:pt x="2316079" y="1268328"/>
              </a:cubicBezTo>
              <a:cubicBezTo>
                <a:pt x="2298842" y="1251091"/>
                <a:pt x="2289872" y="1249567"/>
                <a:pt x="2270960" y="1243263"/>
              </a:cubicBezTo>
              <a:cubicBezTo>
                <a:pt x="2267618" y="1239921"/>
                <a:pt x="2264625" y="1236189"/>
                <a:pt x="2260934" y="1233236"/>
              </a:cubicBezTo>
              <a:cubicBezTo>
                <a:pt x="2229302" y="1207929"/>
                <a:pt x="2260088" y="1237401"/>
                <a:pt x="2235868" y="1213184"/>
              </a:cubicBezTo>
              <a:cubicBezTo>
                <a:pt x="2218761" y="1161860"/>
                <a:pt x="2235813" y="1198074"/>
                <a:pt x="2215816" y="1173078"/>
              </a:cubicBezTo>
              <a:cubicBezTo>
                <a:pt x="2205314" y="1159950"/>
                <a:pt x="2207935" y="1154457"/>
                <a:pt x="2190750" y="1148013"/>
              </a:cubicBezTo>
              <a:cubicBezTo>
                <a:pt x="2167852" y="1139426"/>
                <a:pt x="2169209" y="1147268"/>
                <a:pt x="2150645" y="1137986"/>
              </a:cubicBezTo>
              <a:cubicBezTo>
                <a:pt x="2116030" y="1120678"/>
                <a:pt x="2157279" y="1133379"/>
                <a:pt x="2115553" y="1122947"/>
              </a:cubicBezTo>
              <a:cubicBezTo>
                <a:pt x="2072677" y="1080076"/>
                <a:pt x="2142557" y="1146960"/>
                <a:pt x="2090487" y="1107907"/>
              </a:cubicBezTo>
              <a:cubicBezTo>
                <a:pt x="2081034" y="1100817"/>
                <a:pt x="2073776" y="1091197"/>
                <a:pt x="2065421" y="1082842"/>
              </a:cubicBezTo>
              <a:cubicBezTo>
                <a:pt x="2062079" y="1079500"/>
                <a:pt x="2059879" y="1074310"/>
                <a:pt x="2055395" y="1072815"/>
              </a:cubicBezTo>
              <a:lnTo>
                <a:pt x="2025316" y="1062789"/>
              </a:lnTo>
              <a:cubicBezTo>
                <a:pt x="2018632" y="1056105"/>
                <a:pt x="2013128" y="1047980"/>
                <a:pt x="2005263" y="1042736"/>
              </a:cubicBezTo>
              <a:cubicBezTo>
                <a:pt x="1986291" y="1030088"/>
                <a:pt x="1994484" y="1036970"/>
                <a:pt x="1980197" y="1022684"/>
              </a:cubicBezTo>
              <a:cubicBezTo>
                <a:pt x="1976855" y="1012658"/>
                <a:pt x="1967344" y="1006391"/>
                <a:pt x="1970171" y="992605"/>
              </a:cubicBezTo>
              <a:cubicBezTo>
                <a:pt x="1972998" y="978819"/>
                <a:pt x="1991269" y="959623"/>
                <a:pt x="1997157" y="939967"/>
              </a:cubicBezTo>
              <a:cubicBezTo>
                <a:pt x="2003045" y="920311"/>
                <a:pt x="1997452" y="880034"/>
                <a:pt x="2005498" y="874670"/>
              </a:cubicBezTo>
              <a:cubicBezTo>
                <a:pt x="2003827" y="866315"/>
                <a:pt x="2010315" y="854304"/>
                <a:pt x="2005263" y="847223"/>
              </a:cubicBezTo>
              <a:cubicBezTo>
                <a:pt x="2000211" y="840142"/>
                <a:pt x="1982903" y="834757"/>
                <a:pt x="1975184" y="832184"/>
              </a:cubicBezTo>
              <a:cubicBezTo>
                <a:pt x="1971842" y="828842"/>
                <a:pt x="1969211" y="824589"/>
                <a:pt x="1965158" y="822157"/>
              </a:cubicBezTo>
              <a:cubicBezTo>
                <a:pt x="1960627" y="819438"/>
                <a:pt x="1955199" y="818596"/>
                <a:pt x="1950118" y="817144"/>
              </a:cubicBezTo>
              <a:cubicBezTo>
                <a:pt x="1906054" y="804555"/>
                <a:pt x="1951087" y="819138"/>
                <a:pt x="1915026" y="807118"/>
              </a:cubicBezTo>
              <a:cubicBezTo>
                <a:pt x="1910013" y="803776"/>
                <a:pt x="1905376" y="799786"/>
                <a:pt x="1899987" y="797092"/>
              </a:cubicBezTo>
              <a:cubicBezTo>
                <a:pt x="1895260" y="794729"/>
                <a:pt x="1889344" y="795009"/>
                <a:pt x="1884947" y="792078"/>
              </a:cubicBezTo>
              <a:cubicBezTo>
                <a:pt x="1879048" y="788145"/>
                <a:pt x="1874447" y="782485"/>
                <a:pt x="1869908" y="777039"/>
              </a:cubicBezTo>
              <a:cubicBezTo>
                <a:pt x="1866051" y="772410"/>
                <a:pt x="1863660" y="766930"/>
                <a:pt x="1859881" y="762000"/>
              </a:cubicBezTo>
              <a:cubicBezTo>
                <a:pt x="1856102" y="757070"/>
                <a:pt x="1852244" y="749132"/>
                <a:pt x="1847231" y="747461"/>
              </a:cubicBezTo>
              <a:cubicBezTo>
                <a:pt x="1843889" y="737435"/>
                <a:pt x="1841063" y="733675"/>
                <a:pt x="1834816" y="726907"/>
              </a:cubicBezTo>
              <a:cubicBezTo>
                <a:pt x="1828569" y="720139"/>
                <a:pt x="1841382" y="732162"/>
                <a:pt x="1809750" y="706855"/>
              </a:cubicBezTo>
              <a:cubicBezTo>
                <a:pt x="1806059" y="703902"/>
                <a:pt x="1803066" y="700170"/>
                <a:pt x="1799724" y="696828"/>
              </a:cubicBezTo>
              <a:cubicBezTo>
                <a:pt x="1787118" y="659017"/>
                <a:pt x="1804125" y="705633"/>
                <a:pt x="1784684" y="666750"/>
              </a:cubicBezTo>
              <a:cubicBezTo>
                <a:pt x="1782321" y="662023"/>
                <a:pt x="1782237" y="656329"/>
                <a:pt x="1779671" y="651710"/>
              </a:cubicBezTo>
              <a:cubicBezTo>
                <a:pt x="1773819" y="641176"/>
                <a:pt x="1766302" y="631657"/>
                <a:pt x="1759618" y="621631"/>
              </a:cubicBezTo>
              <a:lnTo>
                <a:pt x="1756761" y="597067"/>
              </a:lnTo>
              <a:lnTo>
                <a:pt x="1734553" y="561473"/>
              </a:lnTo>
              <a:cubicBezTo>
                <a:pt x="1734549" y="561462"/>
                <a:pt x="1724528" y="531405"/>
                <a:pt x="1724526" y="531394"/>
              </a:cubicBezTo>
              <a:cubicBezTo>
                <a:pt x="1714702" y="472449"/>
                <a:pt x="1724471" y="526135"/>
                <a:pt x="1714500" y="481263"/>
              </a:cubicBezTo>
              <a:cubicBezTo>
                <a:pt x="1712652" y="472945"/>
                <a:pt x="1711553" y="464463"/>
                <a:pt x="1709487" y="456197"/>
              </a:cubicBezTo>
              <a:cubicBezTo>
                <a:pt x="1706866" y="445712"/>
                <a:pt x="1697518" y="423769"/>
                <a:pt x="1694447" y="416092"/>
              </a:cubicBezTo>
              <a:cubicBezTo>
                <a:pt x="1693555" y="411631"/>
                <a:pt x="1694135" y="388937"/>
                <a:pt x="1696368" y="380498"/>
              </a:cubicBezTo>
              <a:cubicBezTo>
                <a:pt x="1698601" y="372059"/>
                <a:pt x="1710295" y="370965"/>
                <a:pt x="1707848" y="365459"/>
              </a:cubicBezTo>
              <a:cubicBezTo>
                <a:pt x="1707841" y="365444"/>
                <a:pt x="1672450" y="326607"/>
                <a:pt x="1659355" y="310815"/>
              </a:cubicBezTo>
              <a:cubicBezTo>
                <a:pt x="1646260" y="295024"/>
                <a:pt x="1649312" y="273214"/>
                <a:pt x="1629276" y="270710"/>
              </a:cubicBezTo>
              <a:cubicBezTo>
                <a:pt x="1574156" y="263820"/>
                <a:pt x="1602561" y="267185"/>
                <a:pt x="1544053" y="260684"/>
              </a:cubicBezTo>
              <a:cubicBezTo>
                <a:pt x="1537369" y="257342"/>
                <a:pt x="1535853" y="258177"/>
                <a:pt x="1524000" y="250657"/>
              </a:cubicBezTo>
              <a:cubicBezTo>
                <a:pt x="1512147" y="243137"/>
                <a:pt x="1498803" y="241433"/>
                <a:pt x="1472932" y="215565"/>
              </a:cubicBezTo>
              <a:cubicBezTo>
                <a:pt x="1448712" y="191348"/>
                <a:pt x="1437785" y="200526"/>
                <a:pt x="1428750" y="195513"/>
              </a:cubicBezTo>
              <a:cubicBezTo>
                <a:pt x="1419715" y="190500"/>
                <a:pt x="1423112" y="187241"/>
                <a:pt x="1418724" y="185486"/>
              </a:cubicBezTo>
              <a:cubicBezTo>
                <a:pt x="1405930" y="180368"/>
                <a:pt x="1391691" y="179818"/>
                <a:pt x="1378618" y="175460"/>
              </a:cubicBezTo>
              <a:cubicBezTo>
                <a:pt x="1368592" y="172118"/>
                <a:pt x="1377861" y="170761"/>
                <a:pt x="1348539" y="165434"/>
              </a:cubicBezTo>
              <a:cubicBezTo>
                <a:pt x="1319218" y="160107"/>
                <a:pt x="1338175" y="148920"/>
                <a:pt x="1202689" y="143500"/>
              </a:cubicBezTo>
              <a:cubicBezTo>
                <a:pt x="1162254" y="135413"/>
                <a:pt x="1126211" y="152587"/>
                <a:pt x="1107908" y="155407"/>
              </a:cubicBezTo>
              <a:cubicBezTo>
                <a:pt x="1089605" y="158227"/>
                <a:pt x="1097595" y="158058"/>
                <a:pt x="1092868" y="160421"/>
              </a:cubicBezTo>
              <a:cubicBezTo>
                <a:pt x="1087479" y="163115"/>
                <a:pt x="1083335" y="168000"/>
                <a:pt x="1077829" y="170447"/>
              </a:cubicBezTo>
              <a:cubicBezTo>
                <a:pt x="1077819" y="170451"/>
                <a:pt x="1040234" y="182978"/>
                <a:pt x="1032710" y="185486"/>
              </a:cubicBezTo>
              <a:lnTo>
                <a:pt x="1017671" y="190500"/>
              </a:lnTo>
              <a:cubicBezTo>
                <a:pt x="1010987" y="195513"/>
                <a:pt x="1003526" y="199631"/>
                <a:pt x="997618" y="205539"/>
              </a:cubicBezTo>
              <a:cubicBezTo>
                <a:pt x="974941" y="228215"/>
                <a:pt x="1001833" y="215830"/>
                <a:pt x="972553" y="225592"/>
              </a:cubicBezTo>
              <a:cubicBezTo>
                <a:pt x="969211" y="228934"/>
                <a:pt x="966754" y="233504"/>
                <a:pt x="962526" y="235618"/>
              </a:cubicBezTo>
              <a:cubicBezTo>
                <a:pt x="953073" y="240344"/>
                <a:pt x="932447" y="245644"/>
                <a:pt x="932447" y="245644"/>
              </a:cubicBezTo>
              <a:cubicBezTo>
                <a:pt x="921774" y="256318"/>
                <a:pt x="920848" y="260684"/>
                <a:pt x="902368" y="260684"/>
              </a:cubicBezTo>
              <a:cubicBezTo>
                <a:pt x="832164" y="260684"/>
                <a:pt x="762000" y="257342"/>
                <a:pt x="691816" y="255671"/>
              </a:cubicBezTo>
              <a:cubicBezTo>
                <a:pt x="686803" y="252329"/>
                <a:pt x="682165" y="248339"/>
                <a:pt x="676776" y="245644"/>
              </a:cubicBezTo>
              <a:cubicBezTo>
                <a:pt x="672050" y="243281"/>
                <a:pt x="666818" y="242083"/>
                <a:pt x="661737" y="240631"/>
              </a:cubicBezTo>
              <a:cubicBezTo>
                <a:pt x="640342" y="234518"/>
                <a:pt x="639877" y="235774"/>
                <a:pt x="616618" y="230605"/>
              </a:cubicBezTo>
              <a:cubicBezTo>
                <a:pt x="609892" y="229110"/>
                <a:pt x="603165" y="227572"/>
                <a:pt x="596566" y="225592"/>
              </a:cubicBezTo>
              <a:cubicBezTo>
                <a:pt x="586443" y="222555"/>
                <a:pt x="566487" y="215565"/>
                <a:pt x="566487" y="215565"/>
              </a:cubicBezTo>
              <a:cubicBezTo>
                <a:pt x="548986" y="198066"/>
                <a:pt x="560944" y="207034"/>
                <a:pt x="526381" y="195513"/>
              </a:cubicBezTo>
              <a:lnTo>
                <a:pt x="511342" y="190500"/>
              </a:lnTo>
              <a:cubicBezTo>
                <a:pt x="480123" y="159278"/>
                <a:pt x="490172" y="180473"/>
                <a:pt x="486276" y="175460"/>
              </a:cubicBezTo>
              <a:cubicBezTo>
                <a:pt x="482380" y="170447"/>
                <a:pt x="493863" y="164354"/>
                <a:pt x="487964" y="160421"/>
              </a:cubicBezTo>
              <a:cubicBezTo>
                <a:pt x="447937" y="133736"/>
                <a:pt x="452301" y="151230"/>
                <a:pt x="441158" y="145381"/>
              </a:cubicBezTo>
              <a:cubicBezTo>
                <a:pt x="430015" y="139532"/>
                <a:pt x="428970" y="130572"/>
                <a:pt x="421105" y="125328"/>
              </a:cubicBezTo>
              <a:cubicBezTo>
                <a:pt x="406320" y="115471"/>
                <a:pt x="403087" y="114736"/>
                <a:pt x="391026" y="100263"/>
              </a:cubicBezTo>
              <a:cubicBezTo>
                <a:pt x="370136" y="75196"/>
                <a:pt x="393535" y="93579"/>
                <a:pt x="365960" y="75197"/>
              </a:cubicBezTo>
              <a:cubicBezTo>
                <a:pt x="349193" y="24894"/>
                <a:pt x="366386" y="91423"/>
                <a:pt x="370974" y="50131"/>
              </a:cubicBezTo>
              <a:cubicBezTo>
                <a:pt x="372279" y="38387"/>
                <a:pt x="370759" y="25837"/>
                <a:pt x="365960" y="15039"/>
              </a:cubicBezTo>
              <a:cubicBezTo>
                <a:pt x="361632" y="5302"/>
                <a:pt x="337961" y="1773"/>
                <a:pt x="330868" y="0"/>
              </a:cubicBezTo>
              <a:cubicBezTo>
                <a:pt x="312487" y="1671"/>
                <a:pt x="293708" y="863"/>
                <a:pt x="275724" y="5013"/>
              </a:cubicBezTo>
              <a:cubicBezTo>
                <a:pt x="268540" y="6671"/>
                <a:pt x="259264" y="27203"/>
                <a:pt x="255671" y="30078"/>
              </a:cubicBezTo>
              <a:cubicBezTo>
                <a:pt x="251544" y="33379"/>
                <a:pt x="245644" y="33421"/>
                <a:pt x="240631" y="35092"/>
              </a:cubicBezTo>
              <a:cubicBezTo>
                <a:pt x="233055" y="65397"/>
                <a:pt x="242154" y="52965"/>
                <a:pt x="205539" y="65171"/>
              </a:cubicBezTo>
              <a:lnTo>
                <a:pt x="190500" y="70184"/>
              </a:lnTo>
              <a:cubicBezTo>
                <a:pt x="178803" y="68513"/>
                <a:pt x="166995" y="67488"/>
                <a:pt x="155408" y="65171"/>
              </a:cubicBezTo>
              <a:cubicBezTo>
                <a:pt x="99817" y="54052"/>
                <a:pt x="184480" y="67876"/>
                <a:pt x="125329" y="50131"/>
              </a:cubicBezTo>
              <a:cubicBezTo>
                <a:pt x="114011" y="46736"/>
                <a:pt x="101934" y="46789"/>
                <a:pt x="90237" y="45118"/>
              </a:cubicBezTo>
              <a:cubicBezTo>
                <a:pt x="57423" y="34181"/>
                <a:pt x="89628" y="49372"/>
                <a:pt x="70184" y="25065"/>
              </a:cubicBezTo>
              <a:cubicBezTo>
                <a:pt x="63116" y="16230"/>
                <a:pt x="50012" y="13328"/>
                <a:pt x="40105" y="10026"/>
              </a:cubicBezTo>
              <a:cubicBezTo>
                <a:pt x="31750" y="11697"/>
                <a:pt x="22437" y="10812"/>
                <a:pt x="15039" y="15039"/>
              </a:cubicBezTo>
              <a:cubicBezTo>
                <a:pt x="7036" y="19612"/>
                <a:pt x="2573" y="37399"/>
                <a:pt x="0" y="45118"/>
              </a:cubicBezTo>
              <a:cubicBezTo>
                <a:pt x="3342" y="50131"/>
                <a:pt x="7579" y="54651"/>
                <a:pt x="10026" y="60157"/>
              </a:cubicBezTo>
              <a:cubicBezTo>
                <a:pt x="17297" y="76515"/>
                <a:pt x="14481" y="90904"/>
                <a:pt x="30079" y="100263"/>
              </a:cubicBezTo>
              <a:cubicBezTo>
                <a:pt x="34610" y="102982"/>
                <a:pt x="40105" y="103605"/>
                <a:pt x="45118" y="105276"/>
              </a:cubicBezTo>
              <a:cubicBezTo>
                <a:pt x="61703" y="155030"/>
                <a:pt x="33877" y="79025"/>
                <a:pt x="65171" y="135355"/>
              </a:cubicBezTo>
              <a:cubicBezTo>
                <a:pt x="70304" y="144594"/>
                <a:pt x="71855" y="155408"/>
                <a:pt x="75197" y="165434"/>
              </a:cubicBezTo>
              <a:cubicBezTo>
                <a:pt x="76868" y="170447"/>
                <a:pt x="76474" y="176737"/>
                <a:pt x="80210" y="180473"/>
              </a:cubicBezTo>
              <a:cubicBezTo>
                <a:pt x="94311" y="194574"/>
                <a:pt x="98951" y="197903"/>
                <a:pt x="110289" y="220578"/>
              </a:cubicBezTo>
              <a:cubicBezTo>
                <a:pt x="113631" y="227262"/>
                <a:pt x="117372" y="233762"/>
                <a:pt x="120316" y="240631"/>
              </a:cubicBezTo>
              <a:cubicBezTo>
                <a:pt x="122398" y="245488"/>
                <a:pt x="122966" y="250944"/>
                <a:pt x="125329" y="255671"/>
              </a:cubicBezTo>
              <a:cubicBezTo>
                <a:pt x="128023" y="261060"/>
                <a:pt x="132013" y="265697"/>
                <a:pt x="135355" y="270710"/>
              </a:cubicBezTo>
              <a:cubicBezTo>
                <a:pt x="137026" y="275723"/>
                <a:pt x="137197" y="281522"/>
                <a:pt x="140368" y="285750"/>
              </a:cubicBezTo>
              <a:cubicBezTo>
                <a:pt x="157652" y="308796"/>
                <a:pt x="161743" y="307463"/>
                <a:pt x="180474" y="320842"/>
              </a:cubicBezTo>
              <a:cubicBezTo>
                <a:pt x="187273" y="325698"/>
                <a:pt x="193053" y="332145"/>
                <a:pt x="200526" y="335881"/>
              </a:cubicBezTo>
              <a:cubicBezTo>
                <a:pt x="209979" y="340607"/>
                <a:pt x="230605" y="345907"/>
                <a:pt x="230605" y="345907"/>
              </a:cubicBezTo>
              <a:cubicBezTo>
                <a:pt x="273974" y="389276"/>
                <a:pt x="227948" y="347477"/>
                <a:pt x="270710" y="375986"/>
              </a:cubicBezTo>
              <a:cubicBezTo>
                <a:pt x="274643" y="378608"/>
                <a:pt x="277106" y="382987"/>
                <a:pt x="280737" y="386013"/>
              </a:cubicBezTo>
              <a:cubicBezTo>
                <a:pt x="293176" y="396379"/>
                <a:pt x="302803" y="402395"/>
                <a:pt x="315829" y="411078"/>
              </a:cubicBezTo>
              <a:cubicBezTo>
                <a:pt x="319171" y="416091"/>
                <a:pt x="321321" y="422150"/>
                <a:pt x="325855" y="426118"/>
              </a:cubicBezTo>
              <a:cubicBezTo>
                <a:pt x="334924" y="434053"/>
                <a:pt x="355934" y="446171"/>
                <a:pt x="355934" y="446171"/>
              </a:cubicBezTo>
              <a:lnTo>
                <a:pt x="355934" y="471236"/>
              </a:lnTo>
              <a:close/>
            </a:path>
          </a:pathLst>
        </a:custGeom>
        <a:solidFill>
          <a:srgbClr val="5BEB47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162426</xdr:colOff>
      <xdr:row>24</xdr:row>
      <xdr:rowOff>54772</xdr:rowOff>
    </xdr:from>
    <xdr:to>
      <xdr:col>36</xdr:col>
      <xdr:colOff>352927</xdr:colOff>
      <xdr:row>25</xdr:row>
      <xdr:rowOff>16764</xdr:rowOff>
    </xdr:to>
    <xdr:sp macro="" textlink="">
      <xdr:nvSpPr>
        <xdr:cNvPr id="9" name="Freeform 8"/>
        <xdr:cNvSpPr/>
      </xdr:nvSpPr>
      <xdr:spPr>
        <a:xfrm>
          <a:off x="21650826" y="4626772"/>
          <a:ext cx="190501" cy="152492"/>
        </a:xfrm>
        <a:custGeom>
          <a:avLst/>
          <a:gdLst>
            <a:gd name="connsiteX0" fmla="*/ 110290 w 190501"/>
            <a:gd name="connsiteY0" fmla="*/ 10399 h 152492"/>
            <a:gd name="connsiteX1" fmla="*/ 135356 w 190501"/>
            <a:gd name="connsiteY1" fmla="*/ 5386 h 152492"/>
            <a:gd name="connsiteX2" fmla="*/ 140369 w 190501"/>
            <a:gd name="connsiteY2" fmla="*/ 20425 h 152492"/>
            <a:gd name="connsiteX3" fmla="*/ 160422 w 190501"/>
            <a:gd name="connsiteY3" fmla="*/ 85596 h 152492"/>
            <a:gd name="connsiteX4" fmla="*/ 190501 w 190501"/>
            <a:gd name="connsiteY4" fmla="*/ 125702 h 152492"/>
            <a:gd name="connsiteX5" fmla="*/ 185488 w 190501"/>
            <a:gd name="connsiteY5" fmla="*/ 150767 h 152492"/>
            <a:gd name="connsiteX6" fmla="*/ 150396 w 190501"/>
            <a:gd name="connsiteY6" fmla="*/ 145754 h 152492"/>
            <a:gd name="connsiteX7" fmla="*/ 110290 w 190501"/>
            <a:gd name="connsiteY7" fmla="*/ 135728 h 152492"/>
            <a:gd name="connsiteX8" fmla="*/ 95251 w 190501"/>
            <a:gd name="connsiteY8" fmla="*/ 120689 h 152492"/>
            <a:gd name="connsiteX9" fmla="*/ 40106 w 190501"/>
            <a:gd name="connsiteY9" fmla="*/ 105649 h 152492"/>
            <a:gd name="connsiteX10" fmla="*/ 10027 w 190501"/>
            <a:gd name="connsiteY10" fmla="*/ 95623 h 152492"/>
            <a:gd name="connsiteX11" fmla="*/ 1 w 190501"/>
            <a:gd name="connsiteY11" fmla="*/ 85596 h 152492"/>
            <a:gd name="connsiteX12" fmla="*/ 10027 w 190501"/>
            <a:gd name="connsiteY12" fmla="*/ 50504 h 152492"/>
            <a:gd name="connsiteX13" fmla="*/ 25067 w 190501"/>
            <a:gd name="connsiteY13" fmla="*/ 40478 h 152492"/>
            <a:gd name="connsiteX14" fmla="*/ 50132 w 190501"/>
            <a:gd name="connsiteY14" fmla="*/ 373 h 152492"/>
            <a:gd name="connsiteX15" fmla="*/ 110290 w 190501"/>
            <a:gd name="connsiteY15" fmla="*/ 10399 h 15249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</a:cxnLst>
          <a:rect l="l" t="t" r="r" b="b"/>
          <a:pathLst>
            <a:path w="190501" h="152492">
              <a:moveTo>
                <a:pt x="110290" y="10399"/>
              </a:moveTo>
              <a:cubicBezTo>
                <a:pt x="124494" y="11234"/>
                <a:pt x="127272" y="2692"/>
                <a:pt x="135356" y="5386"/>
              </a:cubicBezTo>
              <a:cubicBezTo>
                <a:pt x="140369" y="7057"/>
                <a:pt x="139622" y="15194"/>
                <a:pt x="140369" y="20425"/>
              </a:cubicBezTo>
              <a:cubicBezTo>
                <a:pt x="149438" y="83911"/>
                <a:pt x="128878" y="64568"/>
                <a:pt x="160422" y="85596"/>
              </a:cubicBezTo>
              <a:cubicBezTo>
                <a:pt x="183096" y="119608"/>
                <a:pt x="171953" y="107154"/>
                <a:pt x="190501" y="125702"/>
              </a:cubicBezTo>
              <a:cubicBezTo>
                <a:pt x="188830" y="134057"/>
                <a:pt x="193109" y="146957"/>
                <a:pt x="185488" y="150767"/>
              </a:cubicBezTo>
              <a:cubicBezTo>
                <a:pt x="174919" y="156051"/>
                <a:pt x="162051" y="147696"/>
                <a:pt x="150396" y="145754"/>
              </a:cubicBezTo>
              <a:cubicBezTo>
                <a:pt x="126198" y="141721"/>
                <a:pt x="129662" y="142185"/>
                <a:pt x="110290" y="135728"/>
              </a:cubicBezTo>
              <a:cubicBezTo>
                <a:pt x="105277" y="130715"/>
                <a:pt x="101448" y="124132"/>
                <a:pt x="95251" y="120689"/>
              </a:cubicBezTo>
              <a:cubicBezTo>
                <a:pt x="75771" y="109866"/>
                <a:pt x="60474" y="111204"/>
                <a:pt x="40106" y="105649"/>
              </a:cubicBezTo>
              <a:cubicBezTo>
                <a:pt x="29910" y="102868"/>
                <a:pt x="10027" y="95623"/>
                <a:pt x="10027" y="95623"/>
              </a:cubicBezTo>
              <a:cubicBezTo>
                <a:pt x="6685" y="92281"/>
                <a:pt x="778" y="90258"/>
                <a:pt x="1" y="85596"/>
              </a:cubicBezTo>
              <a:cubicBezTo>
                <a:pt x="-123" y="84851"/>
                <a:pt x="7759" y="53339"/>
                <a:pt x="10027" y="50504"/>
              </a:cubicBezTo>
              <a:cubicBezTo>
                <a:pt x="13791" y="45799"/>
                <a:pt x="20054" y="43820"/>
                <a:pt x="25067" y="40478"/>
              </a:cubicBezTo>
              <a:cubicBezTo>
                <a:pt x="29334" y="27677"/>
                <a:pt x="30669" y="3153"/>
                <a:pt x="50132" y="373"/>
              </a:cubicBezTo>
              <a:cubicBezTo>
                <a:pt x="68329" y="-2226"/>
                <a:pt x="96086" y="9564"/>
                <a:pt x="110290" y="10399"/>
              </a:cubicBezTo>
              <a:close/>
            </a:path>
          </a:pathLst>
        </a:custGeom>
        <a:solidFill>
          <a:srgbClr val="FFFF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82100</xdr:colOff>
      <xdr:row>26</xdr:row>
      <xdr:rowOff>90237</xdr:rowOff>
    </xdr:from>
    <xdr:to>
      <xdr:col>37</xdr:col>
      <xdr:colOff>185624</xdr:colOff>
      <xdr:row>27</xdr:row>
      <xdr:rowOff>59356</xdr:rowOff>
    </xdr:to>
    <xdr:sp macro="" textlink="">
      <xdr:nvSpPr>
        <xdr:cNvPr id="10" name="Freeform 9"/>
        <xdr:cNvSpPr/>
      </xdr:nvSpPr>
      <xdr:spPr>
        <a:xfrm>
          <a:off x="22180100" y="5043237"/>
          <a:ext cx="103524" cy="159619"/>
        </a:xfrm>
        <a:custGeom>
          <a:avLst/>
          <a:gdLst>
            <a:gd name="connsiteX0" fmla="*/ 100379 w 103524"/>
            <a:gd name="connsiteY0" fmla="*/ 155408 h 159619"/>
            <a:gd name="connsiteX1" fmla="*/ 95366 w 103524"/>
            <a:gd name="connsiteY1" fmla="*/ 85224 h 159619"/>
            <a:gd name="connsiteX2" fmla="*/ 90352 w 103524"/>
            <a:gd name="connsiteY2" fmla="*/ 70184 h 159619"/>
            <a:gd name="connsiteX3" fmla="*/ 85339 w 103524"/>
            <a:gd name="connsiteY3" fmla="*/ 50131 h 159619"/>
            <a:gd name="connsiteX4" fmla="*/ 80326 w 103524"/>
            <a:gd name="connsiteY4" fmla="*/ 35092 h 159619"/>
            <a:gd name="connsiteX5" fmla="*/ 50247 w 103524"/>
            <a:gd name="connsiteY5" fmla="*/ 20052 h 159619"/>
            <a:gd name="connsiteX6" fmla="*/ 25181 w 103524"/>
            <a:gd name="connsiteY6" fmla="*/ 0 h 159619"/>
            <a:gd name="connsiteX7" fmla="*/ 116 w 103524"/>
            <a:gd name="connsiteY7" fmla="*/ 20052 h 159619"/>
            <a:gd name="connsiteX8" fmla="*/ 5129 w 103524"/>
            <a:gd name="connsiteY8" fmla="*/ 35092 h 159619"/>
            <a:gd name="connsiteX9" fmla="*/ 10142 w 103524"/>
            <a:gd name="connsiteY9" fmla="*/ 120316 h 159619"/>
            <a:gd name="connsiteX10" fmla="*/ 15155 w 103524"/>
            <a:gd name="connsiteY10" fmla="*/ 135355 h 159619"/>
            <a:gd name="connsiteX11" fmla="*/ 30194 w 103524"/>
            <a:gd name="connsiteY11" fmla="*/ 150395 h 159619"/>
            <a:gd name="connsiteX12" fmla="*/ 45234 w 103524"/>
            <a:gd name="connsiteY12" fmla="*/ 155408 h 159619"/>
            <a:gd name="connsiteX13" fmla="*/ 100379 w 103524"/>
            <a:gd name="connsiteY13" fmla="*/ 155408 h 1596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</a:cxnLst>
          <a:rect l="l" t="t" r="r" b="b"/>
          <a:pathLst>
            <a:path w="103524" h="159619">
              <a:moveTo>
                <a:pt x="100379" y="155408"/>
              </a:moveTo>
              <a:cubicBezTo>
                <a:pt x="108734" y="143711"/>
                <a:pt x="98107" y="108518"/>
                <a:pt x="95366" y="85224"/>
              </a:cubicBezTo>
              <a:cubicBezTo>
                <a:pt x="94749" y="79976"/>
                <a:pt x="91804" y="75265"/>
                <a:pt x="90352" y="70184"/>
              </a:cubicBezTo>
              <a:cubicBezTo>
                <a:pt x="88459" y="63559"/>
                <a:pt x="87232" y="56756"/>
                <a:pt x="85339" y="50131"/>
              </a:cubicBezTo>
              <a:cubicBezTo>
                <a:pt x="83887" y="45050"/>
                <a:pt x="83627" y="39218"/>
                <a:pt x="80326" y="35092"/>
              </a:cubicBezTo>
              <a:cubicBezTo>
                <a:pt x="70749" y="23121"/>
                <a:pt x="62355" y="26106"/>
                <a:pt x="50247" y="20052"/>
              </a:cubicBezTo>
              <a:cubicBezTo>
                <a:pt x="37600" y="13728"/>
                <a:pt x="34507" y="9325"/>
                <a:pt x="25181" y="0"/>
              </a:cubicBezTo>
              <a:cubicBezTo>
                <a:pt x="13451" y="3910"/>
                <a:pt x="2784" y="4046"/>
                <a:pt x="116" y="20052"/>
              </a:cubicBezTo>
              <a:cubicBezTo>
                <a:pt x="-753" y="25265"/>
                <a:pt x="3458" y="30079"/>
                <a:pt x="5129" y="35092"/>
              </a:cubicBezTo>
              <a:cubicBezTo>
                <a:pt x="6800" y="63500"/>
                <a:pt x="7310" y="92000"/>
                <a:pt x="10142" y="120316"/>
              </a:cubicBezTo>
              <a:cubicBezTo>
                <a:pt x="10668" y="125574"/>
                <a:pt x="12224" y="130958"/>
                <a:pt x="15155" y="135355"/>
              </a:cubicBezTo>
              <a:cubicBezTo>
                <a:pt x="19088" y="141254"/>
                <a:pt x="24295" y="146462"/>
                <a:pt x="30194" y="150395"/>
              </a:cubicBezTo>
              <a:cubicBezTo>
                <a:pt x="34591" y="153326"/>
                <a:pt x="40221" y="153737"/>
                <a:pt x="45234" y="155408"/>
              </a:cubicBezTo>
              <a:cubicBezTo>
                <a:pt x="81980" y="150159"/>
                <a:pt x="92024" y="167105"/>
                <a:pt x="100379" y="155408"/>
              </a:cubicBezTo>
              <a:close/>
            </a:path>
          </a:pathLst>
        </a:custGeom>
        <a:solidFill>
          <a:srgbClr val="FFFF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192505</xdr:colOff>
      <xdr:row>26</xdr:row>
      <xdr:rowOff>80211</xdr:rowOff>
    </xdr:from>
    <xdr:to>
      <xdr:col>38</xdr:col>
      <xdr:colOff>42111</xdr:colOff>
      <xdr:row>28</xdr:row>
      <xdr:rowOff>76704</xdr:rowOff>
    </xdr:to>
    <xdr:sp macro="" textlink="">
      <xdr:nvSpPr>
        <xdr:cNvPr id="11" name="UAE"/>
        <xdr:cNvSpPr/>
      </xdr:nvSpPr>
      <xdr:spPr>
        <a:xfrm>
          <a:off x="22290505" y="5033211"/>
          <a:ext cx="459206" cy="377493"/>
        </a:xfrm>
        <a:custGeom>
          <a:avLst/>
          <a:gdLst>
            <a:gd name="connsiteX0" fmla="*/ 401053 w 461211"/>
            <a:gd name="connsiteY0" fmla="*/ 0 h 377493"/>
            <a:gd name="connsiteX1" fmla="*/ 381000 w 461211"/>
            <a:gd name="connsiteY1" fmla="*/ 25065 h 377493"/>
            <a:gd name="connsiteX2" fmla="*/ 360947 w 461211"/>
            <a:gd name="connsiteY2" fmla="*/ 45118 h 377493"/>
            <a:gd name="connsiteX3" fmla="*/ 350921 w 461211"/>
            <a:gd name="connsiteY3" fmla="*/ 60157 h 377493"/>
            <a:gd name="connsiteX4" fmla="*/ 330868 w 461211"/>
            <a:gd name="connsiteY4" fmla="*/ 80210 h 377493"/>
            <a:gd name="connsiteX5" fmla="*/ 305803 w 461211"/>
            <a:gd name="connsiteY5" fmla="*/ 105276 h 377493"/>
            <a:gd name="connsiteX6" fmla="*/ 300789 w 461211"/>
            <a:gd name="connsiteY6" fmla="*/ 120315 h 377493"/>
            <a:gd name="connsiteX7" fmla="*/ 290763 w 461211"/>
            <a:gd name="connsiteY7" fmla="*/ 130342 h 377493"/>
            <a:gd name="connsiteX8" fmla="*/ 280737 w 461211"/>
            <a:gd name="connsiteY8" fmla="*/ 160421 h 377493"/>
            <a:gd name="connsiteX9" fmla="*/ 270711 w 461211"/>
            <a:gd name="connsiteY9" fmla="*/ 200526 h 377493"/>
            <a:gd name="connsiteX10" fmla="*/ 240632 w 461211"/>
            <a:gd name="connsiteY10" fmla="*/ 190500 h 377493"/>
            <a:gd name="connsiteX11" fmla="*/ 185487 w 461211"/>
            <a:gd name="connsiteY11" fmla="*/ 180473 h 377493"/>
            <a:gd name="connsiteX12" fmla="*/ 145382 w 461211"/>
            <a:gd name="connsiteY12" fmla="*/ 185486 h 377493"/>
            <a:gd name="connsiteX13" fmla="*/ 115303 w 461211"/>
            <a:gd name="connsiteY13" fmla="*/ 195513 h 377493"/>
            <a:gd name="connsiteX14" fmla="*/ 60158 w 461211"/>
            <a:gd name="connsiteY14" fmla="*/ 200526 h 377493"/>
            <a:gd name="connsiteX15" fmla="*/ 45118 w 461211"/>
            <a:gd name="connsiteY15" fmla="*/ 205539 h 377493"/>
            <a:gd name="connsiteX16" fmla="*/ 15039 w 461211"/>
            <a:gd name="connsiteY16" fmla="*/ 190500 h 377493"/>
            <a:gd name="connsiteX17" fmla="*/ 0 w 461211"/>
            <a:gd name="connsiteY17" fmla="*/ 185486 h 377493"/>
            <a:gd name="connsiteX18" fmla="*/ 25066 w 461211"/>
            <a:gd name="connsiteY18" fmla="*/ 220578 h 377493"/>
            <a:gd name="connsiteX19" fmla="*/ 45118 w 461211"/>
            <a:gd name="connsiteY19" fmla="*/ 245644 h 377493"/>
            <a:gd name="connsiteX20" fmla="*/ 55145 w 461211"/>
            <a:gd name="connsiteY20" fmla="*/ 275723 h 377493"/>
            <a:gd name="connsiteX21" fmla="*/ 65171 w 461211"/>
            <a:gd name="connsiteY21" fmla="*/ 305802 h 377493"/>
            <a:gd name="connsiteX22" fmla="*/ 70184 w 461211"/>
            <a:gd name="connsiteY22" fmla="*/ 320842 h 377493"/>
            <a:gd name="connsiteX23" fmla="*/ 100263 w 461211"/>
            <a:gd name="connsiteY23" fmla="*/ 330868 h 377493"/>
            <a:gd name="connsiteX24" fmla="*/ 115303 w 461211"/>
            <a:gd name="connsiteY24" fmla="*/ 335881 h 377493"/>
            <a:gd name="connsiteX25" fmla="*/ 160421 w 461211"/>
            <a:gd name="connsiteY25" fmla="*/ 340894 h 377493"/>
            <a:gd name="connsiteX26" fmla="*/ 170447 w 461211"/>
            <a:gd name="connsiteY26" fmla="*/ 350921 h 377493"/>
            <a:gd name="connsiteX27" fmla="*/ 230605 w 461211"/>
            <a:gd name="connsiteY27" fmla="*/ 365960 h 377493"/>
            <a:gd name="connsiteX28" fmla="*/ 275724 w 461211"/>
            <a:gd name="connsiteY28" fmla="*/ 370973 h 377493"/>
            <a:gd name="connsiteX29" fmla="*/ 350921 w 461211"/>
            <a:gd name="connsiteY29" fmla="*/ 375986 h 377493"/>
            <a:gd name="connsiteX30" fmla="*/ 416092 w 461211"/>
            <a:gd name="connsiteY30" fmla="*/ 370973 h 377493"/>
            <a:gd name="connsiteX31" fmla="*/ 411079 w 461211"/>
            <a:gd name="connsiteY31" fmla="*/ 335881 h 377493"/>
            <a:gd name="connsiteX32" fmla="*/ 416092 w 461211"/>
            <a:gd name="connsiteY32" fmla="*/ 260684 h 377493"/>
            <a:gd name="connsiteX33" fmla="*/ 426118 w 461211"/>
            <a:gd name="connsiteY33" fmla="*/ 230605 h 377493"/>
            <a:gd name="connsiteX34" fmla="*/ 436145 w 461211"/>
            <a:gd name="connsiteY34" fmla="*/ 220578 h 377493"/>
            <a:gd name="connsiteX35" fmla="*/ 441158 w 461211"/>
            <a:gd name="connsiteY35" fmla="*/ 205539 h 377493"/>
            <a:gd name="connsiteX36" fmla="*/ 426118 w 461211"/>
            <a:gd name="connsiteY36" fmla="*/ 180473 h 377493"/>
            <a:gd name="connsiteX37" fmla="*/ 416092 w 461211"/>
            <a:gd name="connsiteY37" fmla="*/ 150394 h 377493"/>
            <a:gd name="connsiteX38" fmla="*/ 436145 w 461211"/>
            <a:gd name="connsiteY38" fmla="*/ 125328 h 377493"/>
            <a:gd name="connsiteX39" fmla="*/ 461211 w 461211"/>
            <a:gd name="connsiteY39" fmla="*/ 105276 h 377493"/>
            <a:gd name="connsiteX40" fmla="*/ 451184 w 461211"/>
            <a:gd name="connsiteY40" fmla="*/ 75197 h 377493"/>
            <a:gd name="connsiteX41" fmla="*/ 436145 w 461211"/>
            <a:gd name="connsiteY41" fmla="*/ 45118 h 377493"/>
            <a:gd name="connsiteX42" fmla="*/ 416092 w 461211"/>
            <a:gd name="connsiteY42" fmla="*/ 25065 h 377493"/>
            <a:gd name="connsiteX43" fmla="*/ 401053 w 461211"/>
            <a:gd name="connsiteY43" fmla="*/ 0 h 37749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</a:cxnLst>
          <a:rect l="l" t="t" r="r" b="b"/>
          <a:pathLst>
            <a:path w="461211" h="377493">
              <a:moveTo>
                <a:pt x="401053" y="0"/>
              </a:moveTo>
              <a:cubicBezTo>
                <a:pt x="394369" y="8355"/>
                <a:pt x="388109" y="17068"/>
                <a:pt x="381000" y="25065"/>
              </a:cubicBezTo>
              <a:cubicBezTo>
                <a:pt x="374720" y="32130"/>
                <a:pt x="366191" y="37253"/>
                <a:pt x="360947" y="45118"/>
              </a:cubicBezTo>
              <a:cubicBezTo>
                <a:pt x="357605" y="50131"/>
                <a:pt x="354842" y="55583"/>
                <a:pt x="350921" y="60157"/>
              </a:cubicBezTo>
              <a:cubicBezTo>
                <a:pt x="344769" y="67334"/>
                <a:pt x="336111" y="72344"/>
                <a:pt x="330868" y="80210"/>
              </a:cubicBezTo>
              <a:cubicBezTo>
                <a:pt x="317500" y="100263"/>
                <a:pt x="325855" y="91908"/>
                <a:pt x="305803" y="105276"/>
              </a:cubicBezTo>
              <a:cubicBezTo>
                <a:pt x="304132" y="110289"/>
                <a:pt x="303508" y="115784"/>
                <a:pt x="300789" y="120315"/>
              </a:cubicBezTo>
              <a:cubicBezTo>
                <a:pt x="298357" y="124368"/>
                <a:pt x="292877" y="126114"/>
                <a:pt x="290763" y="130342"/>
              </a:cubicBezTo>
              <a:cubicBezTo>
                <a:pt x="286037" y="139795"/>
                <a:pt x="284079" y="150395"/>
                <a:pt x="280737" y="160421"/>
              </a:cubicBezTo>
              <a:cubicBezTo>
                <a:pt x="273029" y="183545"/>
                <a:pt x="276761" y="170276"/>
                <a:pt x="270711" y="200526"/>
              </a:cubicBezTo>
              <a:cubicBezTo>
                <a:pt x="260685" y="197184"/>
                <a:pt x="251094" y="191995"/>
                <a:pt x="240632" y="190500"/>
              </a:cubicBezTo>
              <a:cubicBezTo>
                <a:pt x="198719" y="184512"/>
                <a:pt x="217003" y="188352"/>
                <a:pt x="185487" y="180473"/>
              </a:cubicBezTo>
              <a:cubicBezTo>
                <a:pt x="172119" y="182144"/>
                <a:pt x="158555" y="182663"/>
                <a:pt x="145382" y="185486"/>
              </a:cubicBezTo>
              <a:cubicBezTo>
                <a:pt x="135048" y="187701"/>
                <a:pt x="125828" y="194556"/>
                <a:pt x="115303" y="195513"/>
              </a:cubicBezTo>
              <a:lnTo>
                <a:pt x="60158" y="200526"/>
              </a:lnTo>
              <a:cubicBezTo>
                <a:pt x="55145" y="202197"/>
                <a:pt x="50402" y="205539"/>
                <a:pt x="45118" y="205539"/>
              </a:cubicBezTo>
              <a:cubicBezTo>
                <a:pt x="32519" y="205539"/>
                <a:pt x="25176" y="195569"/>
                <a:pt x="15039" y="190500"/>
              </a:cubicBezTo>
              <a:cubicBezTo>
                <a:pt x="10313" y="188137"/>
                <a:pt x="5013" y="187157"/>
                <a:pt x="0" y="185486"/>
              </a:cubicBezTo>
              <a:cubicBezTo>
                <a:pt x="52417" y="237903"/>
                <a:pt x="1061" y="180569"/>
                <a:pt x="25066" y="220578"/>
              </a:cubicBezTo>
              <a:cubicBezTo>
                <a:pt x="42923" y="250340"/>
                <a:pt x="27919" y="206946"/>
                <a:pt x="45118" y="245644"/>
              </a:cubicBezTo>
              <a:cubicBezTo>
                <a:pt x="49410" y="255302"/>
                <a:pt x="51803" y="265697"/>
                <a:pt x="55145" y="275723"/>
              </a:cubicBezTo>
              <a:lnTo>
                <a:pt x="65171" y="305802"/>
              </a:lnTo>
              <a:cubicBezTo>
                <a:pt x="66842" y="310815"/>
                <a:pt x="65171" y="319171"/>
                <a:pt x="70184" y="320842"/>
              </a:cubicBezTo>
              <a:lnTo>
                <a:pt x="100263" y="330868"/>
              </a:lnTo>
              <a:cubicBezTo>
                <a:pt x="105276" y="332539"/>
                <a:pt x="110051" y="335297"/>
                <a:pt x="115303" y="335881"/>
              </a:cubicBezTo>
              <a:lnTo>
                <a:pt x="160421" y="340894"/>
              </a:lnTo>
              <a:cubicBezTo>
                <a:pt x="163763" y="344236"/>
                <a:pt x="166219" y="348807"/>
                <a:pt x="170447" y="350921"/>
              </a:cubicBezTo>
              <a:cubicBezTo>
                <a:pt x="188284" y="359840"/>
                <a:pt x="211150" y="363366"/>
                <a:pt x="230605" y="365960"/>
              </a:cubicBezTo>
              <a:cubicBezTo>
                <a:pt x="245604" y="367960"/>
                <a:pt x="260644" y="369716"/>
                <a:pt x="275724" y="370973"/>
              </a:cubicBezTo>
              <a:cubicBezTo>
                <a:pt x="300759" y="373059"/>
                <a:pt x="325855" y="374315"/>
                <a:pt x="350921" y="375986"/>
              </a:cubicBezTo>
              <a:cubicBezTo>
                <a:pt x="372645" y="374315"/>
                <a:pt x="397963" y="383059"/>
                <a:pt x="416092" y="370973"/>
              </a:cubicBezTo>
              <a:cubicBezTo>
                <a:pt x="425924" y="364419"/>
                <a:pt x="411079" y="347697"/>
                <a:pt x="411079" y="335881"/>
              </a:cubicBezTo>
              <a:cubicBezTo>
                <a:pt x="411079" y="310760"/>
                <a:pt x="412539" y="285553"/>
                <a:pt x="416092" y="260684"/>
              </a:cubicBezTo>
              <a:cubicBezTo>
                <a:pt x="417587" y="250222"/>
                <a:pt x="418645" y="238078"/>
                <a:pt x="426118" y="230605"/>
              </a:cubicBezTo>
              <a:lnTo>
                <a:pt x="436145" y="220578"/>
              </a:lnTo>
              <a:cubicBezTo>
                <a:pt x="437816" y="215565"/>
                <a:pt x="441158" y="210823"/>
                <a:pt x="441158" y="205539"/>
              </a:cubicBezTo>
              <a:cubicBezTo>
                <a:pt x="441158" y="192524"/>
                <a:pt x="434060" y="188415"/>
                <a:pt x="426118" y="180473"/>
              </a:cubicBezTo>
              <a:cubicBezTo>
                <a:pt x="422776" y="170447"/>
                <a:pt x="410230" y="159188"/>
                <a:pt x="416092" y="150394"/>
              </a:cubicBezTo>
              <a:cubicBezTo>
                <a:pt x="423537" y="139227"/>
                <a:pt x="425940" y="133492"/>
                <a:pt x="436145" y="125328"/>
              </a:cubicBezTo>
              <a:cubicBezTo>
                <a:pt x="467772" y="100026"/>
                <a:pt x="436995" y="129489"/>
                <a:pt x="461211" y="105276"/>
              </a:cubicBezTo>
              <a:lnTo>
                <a:pt x="451184" y="75197"/>
              </a:lnTo>
              <a:cubicBezTo>
                <a:pt x="446331" y="60639"/>
                <a:pt x="446747" y="57487"/>
                <a:pt x="436145" y="45118"/>
              </a:cubicBezTo>
              <a:cubicBezTo>
                <a:pt x="429993" y="37941"/>
                <a:pt x="416092" y="25065"/>
                <a:pt x="416092" y="25065"/>
              </a:cubicBezTo>
              <a:lnTo>
                <a:pt x="401053" y="0"/>
              </a:lnTo>
              <a:close/>
            </a:path>
          </a:pathLst>
        </a:custGeom>
        <a:solidFill>
          <a:srgbClr val="FF00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38</xdr:col>
      <xdr:colOff>47124</xdr:colOff>
      <xdr:row>26</xdr:row>
      <xdr:rowOff>180474</xdr:rowOff>
    </xdr:from>
    <xdr:to>
      <xdr:col>38</xdr:col>
      <xdr:colOff>476387</xdr:colOff>
      <xdr:row>29</xdr:row>
      <xdr:rowOff>150395</xdr:rowOff>
    </xdr:to>
    <xdr:sp macro="" textlink="">
      <xdr:nvSpPr>
        <xdr:cNvPr id="12" name="Freeform 11"/>
        <xdr:cNvSpPr/>
      </xdr:nvSpPr>
      <xdr:spPr>
        <a:xfrm>
          <a:off x="22754724" y="5133474"/>
          <a:ext cx="429263" cy="541421"/>
        </a:xfrm>
        <a:custGeom>
          <a:avLst/>
          <a:gdLst>
            <a:gd name="connsiteX0" fmla="*/ 0 w 431268"/>
            <a:gd name="connsiteY0" fmla="*/ 0 h 541421"/>
            <a:gd name="connsiteX1" fmla="*/ 25065 w 431268"/>
            <a:gd name="connsiteY1" fmla="*/ 30079 h 541421"/>
            <a:gd name="connsiteX2" fmla="*/ 50131 w 431268"/>
            <a:gd name="connsiteY2" fmla="*/ 55144 h 541421"/>
            <a:gd name="connsiteX3" fmla="*/ 60158 w 431268"/>
            <a:gd name="connsiteY3" fmla="*/ 65171 h 541421"/>
            <a:gd name="connsiteX4" fmla="*/ 75197 w 431268"/>
            <a:gd name="connsiteY4" fmla="*/ 70184 h 541421"/>
            <a:gd name="connsiteX5" fmla="*/ 100263 w 431268"/>
            <a:gd name="connsiteY5" fmla="*/ 90237 h 541421"/>
            <a:gd name="connsiteX6" fmla="*/ 130342 w 431268"/>
            <a:gd name="connsiteY6" fmla="*/ 115302 h 541421"/>
            <a:gd name="connsiteX7" fmla="*/ 160421 w 431268"/>
            <a:gd name="connsiteY7" fmla="*/ 125329 h 541421"/>
            <a:gd name="connsiteX8" fmla="*/ 195513 w 431268"/>
            <a:gd name="connsiteY8" fmla="*/ 135355 h 541421"/>
            <a:gd name="connsiteX9" fmla="*/ 210552 w 431268"/>
            <a:gd name="connsiteY9" fmla="*/ 140368 h 541421"/>
            <a:gd name="connsiteX10" fmla="*/ 245644 w 431268"/>
            <a:gd name="connsiteY10" fmla="*/ 155408 h 541421"/>
            <a:gd name="connsiteX11" fmla="*/ 275723 w 431268"/>
            <a:gd name="connsiteY11" fmla="*/ 165434 h 541421"/>
            <a:gd name="connsiteX12" fmla="*/ 310815 w 431268"/>
            <a:gd name="connsiteY12" fmla="*/ 175460 h 541421"/>
            <a:gd name="connsiteX13" fmla="*/ 335881 w 431268"/>
            <a:gd name="connsiteY13" fmla="*/ 195513 h 541421"/>
            <a:gd name="connsiteX14" fmla="*/ 355934 w 431268"/>
            <a:gd name="connsiteY14" fmla="*/ 220579 h 541421"/>
            <a:gd name="connsiteX15" fmla="*/ 370973 w 431268"/>
            <a:gd name="connsiteY15" fmla="*/ 230605 h 541421"/>
            <a:gd name="connsiteX16" fmla="*/ 391026 w 431268"/>
            <a:gd name="connsiteY16" fmla="*/ 255671 h 541421"/>
            <a:gd name="connsiteX17" fmla="*/ 401052 w 431268"/>
            <a:gd name="connsiteY17" fmla="*/ 270710 h 541421"/>
            <a:gd name="connsiteX18" fmla="*/ 416092 w 431268"/>
            <a:gd name="connsiteY18" fmla="*/ 275723 h 541421"/>
            <a:gd name="connsiteX19" fmla="*/ 426118 w 431268"/>
            <a:gd name="connsiteY19" fmla="*/ 285750 h 541421"/>
            <a:gd name="connsiteX20" fmla="*/ 426118 w 431268"/>
            <a:gd name="connsiteY20" fmla="*/ 330868 h 541421"/>
            <a:gd name="connsiteX21" fmla="*/ 416092 w 431268"/>
            <a:gd name="connsiteY21" fmla="*/ 360947 h 541421"/>
            <a:gd name="connsiteX22" fmla="*/ 396039 w 431268"/>
            <a:gd name="connsiteY22" fmla="*/ 365960 h 541421"/>
            <a:gd name="connsiteX23" fmla="*/ 391026 w 431268"/>
            <a:gd name="connsiteY23" fmla="*/ 391026 h 541421"/>
            <a:gd name="connsiteX24" fmla="*/ 386013 w 431268"/>
            <a:gd name="connsiteY24" fmla="*/ 411079 h 541421"/>
            <a:gd name="connsiteX25" fmla="*/ 381000 w 431268"/>
            <a:gd name="connsiteY25" fmla="*/ 451184 h 541421"/>
            <a:gd name="connsiteX26" fmla="*/ 360947 w 431268"/>
            <a:gd name="connsiteY26" fmla="*/ 496302 h 541421"/>
            <a:gd name="connsiteX27" fmla="*/ 350921 w 431268"/>
            <a:gd name="connsiteY27" fmla="*/ 506329 h 541421"/>
            <a:gd name="connsiteX28" fmla="*/ 300789 w 431268"/>
            <a:gd name="connsiteY28" fmla="*/ 506329 h 541421"/>
            <a:gd name="connsiteX29" fmla="*/ 295776 w 431268"/>
            <a:gd name="connsiteY29" fmla="*/ 541421 h 541421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</a:cxnLst>
          <a:rect l="l" t="t" r="r" b="b"/>
          <a:pathLst>
            <a:path w="431268" h="541421">
              <a:moveTo>
                <a:pt x="0" y="0"/>
              </a:moveTo>
              <a:cubicBezTo>
                <a:pt x="21546" y="53865"/>
                <a:pt x="-4123" y="8188"/>
                <a:pt x="25065" y="30079"/>
              </a:cubicBezTo>
              <a:cubicBezTo>
                <a:pt x="34518" y="37169"/>
                <a:pt x="41776" y="46789"/>
                <a:pt x="50131" y="55144"/>
              </a:cubicBezTo>
              <a:cubicBezTo>
                <a:pt x="53473" y="58486"/>
                <a:pt x="55674" y="63676"/>
                <a:pt x="60158" y="65171"/>
              </a:cubicBezTo>
              <a:lnTo>
                <a:pt x="75197" y="70184"/>
              </a:lnTo>
              <a:cubicBezTo>
                <a:pt x="97619" y="103817"/>
                <a:pt x="71206" y="70865"/>
                <a:pt x="100263" y="90237"/>
              </a:cubicBezTo>
              <a:cubicBezTo>
                <a:pt x="123878" y="105981"/>
                <a:pt x="105735" y="104366"/>
                <a:pt x="130342" y="115302"/>
              </a:cubicBezTo>
              <a:cubicBezTo>
                <a:pt x="140000" y="119594"/>
                <a:pt x="150395" y="121987"/>
                <a:pt x="160421" y="125329"/>
              </a:cubicBezTo>
              <a:cubicBezTo>
                <a:pt x="196468" y="137345"/>
                <a:pt x="151465" y="122770"/>
                <a:pt x="195513" y="135355"/>
              </a:cubicBezTo>
              <a:cubicBezTo>
                <a:pt x="200594" y="136807"/>
                <a:pt x="205539" y="138697"/>
                <a:pt x="210552" y="140368"/>
              </a:cubicBezTo>
              <a:cubicBezTo>
                <a:pt x="228251" y="158066"/>
                <a:pt x="212975" y="146498"/>
                <a:pt x="245644" y="155408"/>
              </a:cubicBezTo>
              <a:cubicBezTo>
                <a:pt x="255840" y="158189"/>
                <a:pt x="265470" y="162871"/>
                <a:pt x="275723" y="165434"/>
              </a:cubicBezTo>
              <a:cubicBezTo>
                <a:pt x="300902" y="171729"/>
                <a:pt x="289240" y="168268"/>
                <a:pt x="310815" y="175460"/>
              </a:cubicBezTo>
              <a:cubicBezTo>
                <a:pt x="335021" y="199666"/>
                <a:pt x="304266" y="170222"/>
                <a:pt x="335881" y="195513"/>
              </a:cubicBezTo>
              <a:cubicBezTo>
                <a:pt x="360689" y="215359"/>
                <a:pt x="329875" y="194519"/>
                <a:pt x="355934" y="220579"/>
              </a:cubicBezTo>
              <a:cubicBezTo>
                <a:pt x="360194" y="224839"/>
                <a:pt x="365960" y="227263"/>
                <a:pt x="370973" y="230605"/>
              </a:cubicBezTo>
              <a:cubicBezTo>
                <a:pt x="401844" y="276907"/>
                <a:pt x="362445" y="219944"/>
                <a:pt x="391026" y="255671"/>
              </a:cubicBezTo>
              <a:cubicBezTo>
                <a:pt x="394790" y="260376"/>
                <a:pt x="396347" y="266946"/>
                <a:pt x="401052" y="270710"/>
              </a:cubicBezTo>
              <a:cubicBezTo>
                <a:pt x="405179" y="274011"/>
                <a:pt x="411079" y="274052"/>
                <a:pt x="416092" y="275723"/>
              </a:cubicBezTo>
              <a:cubicBezTo>
                <a:pt x="419434" y="279065"/>
                <a:pt x="423686" y="281697"/>
                <a:pt x="426118" y="285750"/>
              </a:cubicBezTo>
              <a:cubicBezTo>
                <a:pt x="435202" y="300890"/>
                <a:pt x="430352" y="313931"/>
                <a:pt x="426118" y="330868"/>
              </a:cubicBezTo>
              <a:cubicBezTo>
                <a:pt x="423555" y="341121"/>
                <a:pt x="426345" y="358384"/>
                <a:pt x="416092" y="360947"/>
              </a:cubicBezTo>
              <a:lnTo>
                <a:pt x="396039" y="365960"/>
              </a:lnTo>
              <a:cubicBezTo>
                <a:pt x="394368" y="374315"/>
                <a:pt x="392874" y="382708"/>
                <a:pt x="391026" y="391026"/>
              </a:cubicBezTo>
              <a:cubicBezTo>
                <a:pt x="389531" y="397752"/>
                <a:pt x="387146" y="404283"/>
                <a:pt x="386013" y="411079"/>
              </a:cubicBezTo>
              <a:cubicBezTo>
                <a:pt x="383798" y="424368"/>
                <a:pt x="383823" y="438011"/>
                <a:pt x="381000" y="451184"/>
              </a:cubicBezTo>
              <a:cubicBezTo>
                <a:pt x="376928" y="470187"/>
                <a:pt x="372355" y="482042"/>
                <a:pt x="360947" y="496302"/>
              </a:cubicBezTo>
              <a:cubicBezTo>
                <a:pt x="357994" y="499993"/>
                <a:pt x="354263" y="502987"/>
                <a:pt x="350921" y="506329"/>
              </a:cubicBezTo>
              <a:cubicBezTo>
                <a:pt x="333323" y="501929"/>
                <a:pt x="319496" y="495639"/>
                <a:pt x="300789" y="506329"/>
              </a:cubicBezTo>
              <a:cubicBezTo>
                <a:pt x="293662" y="510402"/>
                <a:pt x="295776" y="537978"/>
                <a:pt x="295776" y="541421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37</xdr:col>
      <xdr:colOff>406066</xdr:colOff>
      <xdr:row>27</xdr:row>
      <xdr:rowOff>5013</xdr:rowOff>
    </xdr:from>
    <xdr:to>
      <xdr:col>38</xdr:col>
      <xdr:colOff>476756</xdr:colOff>
      <xdr:row>31</xdr:row>
      <xdr:rowOff>175533</xdr:rowOff>
    </xdr:to>
    <xdr:sp macro="" textlink="">
      <xdr:nvSpPr>
        <xdr:cNvPr id="13" name="Freeform 12"/>
        <xdr:cNvSpPr/>
      </xdr:nvSpPr>
      <xdr:spPr>
        <a:xfrm>
          <a:off x="22504066" y="5148513"/>
          <a:ext cx="680290" cy="932520"/>
        </a:xfrm>
        <a:custGeom>
          <a:avLst/>
          <a:gdLst>
            <a:gd name="connsiteX0" fmla="*/ 546434 w 682295"/>
            <a:gd name="connsiteY0" fmla="*/ 516355 h 932520"/>
            <a:gd name="connsiteX1" fmla="*/ 551447 w 682295"/>
            <a:gd name="connsiteY1" fmla="*/ 551448 h 932520"/>
            <a:gd name="connsiteX2" fmla="*/ 566487 w 682295"/>
            <a:gd name="connsiteY2" fmla="*/ 561474 h 932520"/>
            <a:gd name="connsiteX3" fmla="*/ 576513 w 682295"/>
            <a:gd name="connsiteY3" fmla="*/ 591553 h 932520"/>
            <a:gd name="connsiteX4" fmla="*/ 581526 w 682295"/>
            <a:gd name="connsiteY4" fmla="*/ 606592 h 932520"/>
            <a:gd name="connsiteX5" fmla="*/ 576513 w 682295"/>
            <a:gd name="connsiteY5" fmla="*/ 646698 h 932520"/>
            <a:gd name="connsiteX6" fmla="*/ 546434 w 682295"/>
            <a:gd name="connsiteY6" fmla="*/ 666750 h 932520"/>
            <a:gd name="connsiteX7" fmla="*/ 496302 w 682295"/>
            <a:gd name="connsiteY7" fmla="*/ 681790 h 932520"/>
            <a:gd name="connsiteX8" fmla="*/ 481263 w 682295"/>
            <a:gd name="connsiteY8" fmla="*/ 691816 h 932520"/>
            <a:gd name="connsiteX9" fmla="*/ 471237 w 682295"/>
            <a:gd name="connsiteY9" fmla="*/ 721895 h 932520"/>
            <a:gd name="connsiteX10" fmla="*/ 466223 w 682295"/>
            <a:gd name="connsiteY10" fmla="*/ 777040 h 932520"/>
            <a:gd name="connsiteX11" fmla="*/ 451184 w 682295"/>
            <a:gd name="connsiteY11" fmla="*/ 787066 h 932520"/>
            <a:gd name="connsiteX12" fmla="*/ 421105 w 682295"/>
            <a:gd name="connsiteY12" fmla="*/ 792079 h 932520"/>
            <a:gd name="connsiteX13" fmla="*/ 396039 w 682295"/>
            <a:gd name="connsiteY13" fmla="*/ 797092 h 932520"/>
            <a:gd name="connsiteX14" fmla="*/ 386013 w 682295"/>
            <a:gd name="connsiteY14" fmla="*/ 807119 h 932520"/>
            <a:gd name="connsiteX15" fmla="*/ 355934 w 682295"/>
            <a:gd name="connsiteY15" fmla="*/ 817145 h 932520"/>
            <a:gd name="connsiteX16" fmla="*/ 370973 w 682295"/>
            <a:gd name="connsiteY16" fmla="*/ 847224 h 932520"/>
            <a:gd name="connsiteX17" fmla="*/ 365960 w 682295"/>
            <a:gd name="connsiteY17" fmla="*/ 862263 h 932520"/>
            <a:gd name="connsiteX18" fmla="*/ 355934 w 682295"/>
            <a:gd name="connsiteY18" fmla="*/ 872290 h 932520"/>
            <a:gd name="connsiteX19" fmla="*/ 340895 w 682295"/>
            <a:gd name="connsiteY19" fmla="*/ 877303 h 932520"/>
            <a:gd name="connsiteX20" fmla="*/ 245645 w 682295"/>
            <a:gd name="connsiteY20" fmla="*/ 887329 h 932520"/>
            <a:gd name="connsiteX21" fmla="*/ 210552 w 682295"/>
            <a:gd name="connsiteY21" fmla="*/ 912395 h 932520"/>
            <a:gd name="connsiteX22" fmla="*/ 200526 w 682295"/>
            <a:gd name="connsiteY22" fmla="*/ 927434 h 932520"/>
            <a:gd name="connsiteX23" fmla="*/ 155408 w 682295"/>
            <a:gd name="connsiteY23" fmla="*/ 917408 h 932520"/>
            <a:gd name="connsiteX24" fmla="*/ 140368 w 682295"/>
            <a:gd name="connsiteY24" fmla="*/ 892342 h 932520"/>
            <a:gd name="connsiteX25" fmla="*/ 125329 w 682295"/>
            <a:gd name="connsiteY25" fmla="*/ 867276 h 932520"/>
            <a:gd name="connsiteX26" fmla="*/ 110289 w 682295"/>
            <a:gd name="connsiteY26" fmla="*/ 822158 h 932520"/>
            <a:gd name="connsiteX27" fmla="*/ 105276 w 682295"/>
            <a:gd name="connsiteY27" fmla="*/ 807119 h 932520"/>
            <a:gd name="connsiteX28" fmla="*/ 65171 w 682295"/>
            <a:gd name="connsiteY28" fmla="*/ 756987 h 932520"/>
            <a:gd name="connsiteX29" fmla="*/ 45118 w 682295"/>
            <a:gd name="connsiteY29" fmla="*/ 726908 h 932520"/>
            <a:gd name="connsiteX30" fmla="*/ 20052 w 682295"/>
            <a:gd name="connsiteY30" fmla="*/ 701842 h 932520"/>
            <a:gd name="connsiteX31" fmla="*/ 5013 w 682295"/>
            <a:gd name="connsiteY31" fmla="*/ 676776 h 932520"/>
            <a:gd name="connsiteX32" fmla="*/ 0 w 682295"/>
            <a:gd name="connsiteY32" fmla="*/ 661737 h 932520"/>
            <a:gd name="connsiteX33" fmla="*/ 5013 w 682295"/>
            <a:gd name="connsiteY33" fmla="*/ 641684 h 932520"/>
            <a:gd name="connsiteX34" fmla="*/ 85223 w 682295"/>
            <a:gd name="connsiteY34" fmla="*/ 616619 h 932520"/>
            <a:gd name="connsiteX35" fmla="*/ 105276 w 682295"/>
            <a:gd name="connsiteY35" fmla="*/ 611605 h 932520"/>
            <a:gd name="connsiteX36" fmla="*/ 140368 w 682295"/>
            <a:gd name="connsiteY36" fmla="*/ 601579 h 932520"/>
            <a:gd name="connsiteX37" fmla="*/ 180473 w 682295"/>
            <a:gd name="connsiteY37" fmla="*/ 596566 h 932520"/>
            <a:gd name="connsiteX38" fmla="*/ 220579 w 682295"/>
            <a:gd name="connsiteY38" fmla="*/ 586540 h 932520"/>
            <a:gd name="connsiteX39" fmla="*/ 230605 w 682295"/>
            <a:gd name="connsiteY39" fmla="*/ 576513 h 932520"/>
            <a:gd name="connsiteX40" fmla="*/ 260684 w 682295"/>
            <a:gd name="connsiteY40" fmla="*/ 566487 h 932520"/>
            <a:gd name="connsiteX41" fmla="*/ 270710 w 682295"/>
            <a:gd name="connsiteY41" fmla="*/ 551448 h 932520"/>
            <a:gd name="connsiteX42" fmla="*/ 280737 w 682295"/>
            <a:gd name="connsiteY42" fmla="*/ 541421 h 932520"/>
            <a:gd name="connsiteX43" fmla="*/ 285750 w 682295"/>
            <a:gd name="connsiteY43" fmla="*/ 526382 h 932520"/>
            <a:gd name="connsiteX44" fmla="*/ 280737 w 682295"/>
            <a:gd name="connsiteY44" fmla="*/ 406066 h 932520"/>
            <a:gd name="connsiteX45" fmla="*/ 275723 w 682295"/>
            <a:gd name="connsiteY45" fmla="*/ 391026 h 932520"/>
            <a:gd name="connsiteX46" fmla="*/ 270710 w 682295"/>
            <a:gd name="connsiteY46" fmla="*/ 305803 h 932520"/>
            <a:gd name="connsiteX47" fmla="*/ 245645 w 682295"/>
            <a:gd name="connsiteY47" fmla="*/ 285750 h 932520"/>
            <a:gd name="connsiteX48" fmla="*/ 235618 w 682295"/>
            <a:gd name="connsiteY48" fmla="*/ 275724 h 932520"/>
            <a:gd name="connsiteX49" fmla="*/ 210552 w 682295"/>
            <a:gd name="connsiteY49" fmla="*/ 255671 h 932520"/>
            <a:gd name="connsiteX50" fmla="*/ 195513 w 682295"/>
            <a:gd name="connsiteY50" fmla="*/ 205540 h 932520"/>
            <a:gd name="connsiteX51" fmla="*/ 200526 w 682295"/>
            <a:gd name="connsiteY51" fmla="*/ 180474 h 932520"/>
            <a:gd name="connsiteX52" fmla="*/ 210552 w 682295"/>
            <a:gd name="connsiteY52" fmla="*/ 115303 h 932520"/>
            <a:gd name="connsiteX53" fmla="*/ 220579 w 682295"/>
            <a:gd name="connsiteY53" fmla="*/ 100263 h 932520"/>
            <a:gd name="connsiteX54" fmla="*/ 215566 w 682295"/>
            <a:gd name="connsiteY54" fmla="*/ 55145 h 932520"/>
            <a:gd name="connsiteX55" fmla="*/ 210552 w 682295"/>
            <a:gd name="connsiteY55" fmla="*/ 40105 h 932520"/>
            <a:gd name="connsiteX56" fmla="*/ 225592 w 682295"/>
            <a:gd name="connsiteY56" fmla="*/ 10026 h 932520"/>
            <a:gd name="connsiteX57" fmla="*/ 240631 w 682295"/>
            <a:gd name="connsiteY57" fmla="*/ 0 h 932520"/>
            <a:gd name="connsiteX58" fmla="*/ 260684 w 682295"/>
            <a:gd name="connsiteY58" fmla="*/ 5013 h 932520"/>
            <a:gd name="connsiteX59" fmla="*/ 280737 w 682295"/>
            <a:gd name="connsiteY59" fmla="*/ 25066 h 932520"/>
            <a:gd name="connsiteX60" fmla="*/ 290763 w 682295"/>
            <a:gd name="connsiteY60" fmla="*/ 40105 h 932520"/>
            <a:gd name="connsiteX61" fmla="*/ 320842 w 682295"/>
            <a:gd name="connsiteY61" fmla="*/ 50132 h 932520"/>
            <a:gd name="connsiteX62" fmla="*/ 335881 w 682295"/>
            <a:gd name="connsiteY62" fmla="*/ 60158 h 932520"/>
            <a:gd name="connsiteX63" fmla="*/ 355934 w 682295"/>
            <a:gd name="connsiteY63" fmla="*/ 80211 h 932520"/>
            <a:gd name="connsiteX64" fmla="*/ 370973 w 682295"/>
            <a:gd name="connsiteY64" fmla="*/ 85224 h 932520"/>
            <a:gd name="connsiteX65" fmla="*/ 396039 w 682295"/>
            <a:gd name="connsiteY65" fmla="*/ 100263 h 932520"/>
            <a:gd name="connsiteX66" fmla="*/ 421105 w 682295"/>
            <a:gd name="connsiteY66" fmla="*/ 125329 h 932520"/>
            <a:gd name="connsiteX67" fmla="*/ 436145 w 682295"/>
            <a:gd name="connsiteY67" fmla="*/ 130342 h 932520"/>
            <a:gd name="connsiteX68" fmla="*/ 496302 w 682295"/>
            <a:gd name="connsiteY68" fmla="*/ 140369 h 932520"/>
            <a:gd name="connsiteX69" fmla="*/ 526381 w 682295"/>
            <a:gd name="connsiteY69" fmla="*/ 150395 h 932520"/>
            <a:gd name="connsiteX70" fmla="*/ 551447 w 682295"/>
            <a:gd name="connsiteY70" fmla="*/ 165434 h 932520"/>
            <a:gd name="connsiteX71" fmla="*/ 571500 w 682295"/>
            <a:gd name="connsiteY71" fmla="*/ 185487 h 932520"/>
            <a:gd name="connsiteX72" fmla="*/ 601579 w 682295"/>
            <a:gd name="connsiteY72" fmla="*/ 195513 h 932520"/>
            <a:gd name="connsiteX73" fmla="*/ 616618 w 682295"/>
            <a:gd name="connsiteY73" fmla="*/ 205540 h 932520"/>
            <a:gd name="connsiteX74" fmla="*/ 631658 w 682295"/>
            <a:gd name="connsiteY74" fmla="*/ 210553 h 932520"/>
            <a:gd name="connsiteX75" fmla="*/ 671763 w 682295"/>
            <a:gd name="connsiteY75" fmla="*/ 240632 h 932520"/>
            <a:gd name="connsiteX76" fmla="*/ 671763 w 682295"/>
            <a:gd name="connsiteY76" fmla="*/ 350921 h 932520"/>
            <a:gd name="connsiteX77" fmla="*/ 656723 w 682295"/>
            <a:gd name="connsiteY77" fmla="*/ 355934 h 932520"/>
            <a:gd name="connsiteX78" fmla="*/ 641684 w 682295"/>
            <a:gd name="connsiteY78" fmla="*/ 406066 h 932520"/>
            <a:gd name="connsiteX79" fmla="*/ 621631 w 682295"/>
            <a:gd name="connsiteY79" fmla="*/ 431132 h 932520"/>
            <a:gd name="connsiteX80" fmla="*/ 606592 w 682295"/>
            <a:gd name="connsiteY80" fmla="*/ 471237 h 932520"/>
            <a:gd name="connsiteX81" fmla="*/ 591552 w 682295"/>
            <a:gd name="connsiteY81" fmla="*/ 496303 h 932520"/>
            <a:gd name="connsiteX82" fmla="*/ 546434 w 682295"/>
            <a:gd name="connsiteY82" fmla="*/ 516355 h 9325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</a:cxnLst>
          <a:rect l="l" t="t" r="r" b="b"/>
          <a:pathLst>
            <a:path w="682295" h="932520">
              <a:moveTo>
                <a:pt x="546434" y="516355"/>
              </a:moveTo>
              <a:cubicBezTo>
                <a:pt x="548105" y="528053"/>
                <a:pt x="546648" y="540650"/>
                <a:pt x="551447" y="551448"/>
              </a:cubicBezTo>
              <a:cubicBezTo>
                <a:pt x="553894" y="556954"/>
                <a:pt x="563294" y="556365"/>
                <a:pt x="566487" y="561474"/>
              </a:cubicBezTo>
              <a:cubicBezTo>
                <a:pt x="572088" y="570436"/>
                <a:pt x="573171" y="581527"/>
                <a:pt x="576513" y="591553"/>
              </a:cubicBezTo>
              <a:lnTo>
                <a:pt x="581526" y="606592"/>
              </a:lnTo>
              <a:cubicBezTo>
                <a:pt x="579855" y="619961"/>
                <a:pt x="583301" y="635061"/>
                <a:pt x="576513" y="646698"/>
              </a:cubicBezTo>
              <a:cubicBezTo>
                <a:pt x="570441" y="657107"/>
                <a:pt x="557866" y="662940"/>
                <a:pt x="546434" y="666750"/>
              </a:cubicBezTo>
              <a:cubicBezTo>
                <a:pt x="509818" y="678955"/>
                <a:pt x="526608" y="674212"/>
                <a:pt x="496302" y="681790"/>
              </a:cubicBezTo>
              <a:cubicBezTo>
                <a:pt x="491289" y="685132"/>
                <a:pt x="484456" y="686707"/>
                <a:pt x="481263" y="691816"/>
              </a:cubicBezTo>
              <a:cubicBezTo>
                <a:pt x="475662" y="700778"/>
                <a:pt x="471237" y="721895"/>
                <a:pt x="471237" y="721895"/>
              </a:cubicBezTo>
              <a:cubicBezTo>
                <a:pt x="469566" y="740277"/>
                <a:pt x="471651" y="759399"/>
                <a:pt x="466223" y="777040"/>
              </a:cubicBezTo>
              <a:cubicBezTo>
                <a:pt x="464451" y="782798"/>
                <a:pt x="456900" y="785161"/>
                <a:pt x="451184" y="787066"/>
              </a:cubicBezTo>
              <a:cubicBezTo>
                <a:pt x="441541" y="790280"/>
                <a:pt x="431106" y="790261"/>
                <a:pt x="421105" y="792079"/>
              </a:cubicBezTo>
              <a:cubicBezTo>
                <a:pt x="412722" y="793603"/>
                <a:pt x="404394" y="795421"/>
                <a:pt x="396039" y="797092"/>
              </a:cubicBezTo>
              <a:cubicBezTo>
                <a:pt x="392697" y="800434"/>
                <a:pt x="390241" y="805005"/>
                <a:pt x="386013" y="807119"/>
              </a:cubicBezTo>
              <a:cubicBezTo>
                <a:pt x="376560" y="811846"/>
                <a:pt x="355934" y="817145"/>
                <a:pt x="355934" y="817145"/>
              </a:cubicBezTo>
              <a:cubicBezTo>
                <a:pt x="361004" y="824750"/>
                <a:pt x="370973" y="836845"/>
                <a:pt x="370973" y="847224"/>
              </a:cubicBezTo>
              <a:cubicBezTo>
                <a:pt x="370973" y="852508"/>
                <a:pt x="368679" y="857732"/>
                <a:pt x="365960" y="862263"/>
              </a:cubicBezTo>
              <a:cubicBezTo>
                <a:pt x="363528" y="866316"/>
                <a:pt x="359987" y="869858"/>
                <a:pt x="355934" y="872290"/>
              </a:cubicBezTo>
              <a:cubicBezTo>
                <a:pt x="351403" y="875009"/>
                <a:pt x="346131" y="876589"/>
                <a:pt x="340895" y="877303"/>
              </a:cubicBezTo>
              <a:cubicBezTo>
                <a:pt x="309262" y="881616"/>
                <a:pt x="245645" y="887329"/>
                <a:pt x="245645" y="887329"/>
              </a:cubicBezTo>
              <a:cubicBezTo>
                <a:pt x="221855" y="911119"/>
                <a:pt x="234560" y="904393"/>
                <a:pt x="210552" y="912395"/>
              </a:cubicBezTo>
              <a:cubicBezTo>
                <a:pt x="207210" y="917408"/>
                <a:pt x="205231" y="923670"/>
                <a:pt x="200526" y="927434"/>
              </a:cubicBezTo>
              <a:cubicBezTo>
                <a:pt x="184579" y="940193"/>
                <a:pt x="168219" y="925949"/>
                <a:pt x="155408" y="917408"/>
              </a:cubicBezTo>
              <a:cubicBezTo>
                <a:pt x="141208" y="874807"/>
                <a:pt x="161013" y="926749"/>
                <a:pt x="140368" y="892342"/>
              </a:cubicBezTo>
              <a:cubicBezTo>
                <a:pt x="120842" y="859799"/>
                <a:pt x="150736" y="892686"/>
                <a:pt x="125329" y="867276"/>
              </a:cubicBezTo>
              <a:lnTo>
                <a:pt x="110289" y="822158"/>
              </a:lnTo>
              <a:cubicBezTo>
                <a:pt x="108618" y="817145"/>
                <a:pt x="109012" y="810855"/>
                <a:pt x="105276" y="807119"/>
              </a:cubicBezTo>
              <a:cubicBezTo>
                <a:pt x="76702" y="778545"/>
                <a:pt x="90467" y="794932"/>
                <a:pt x="65171" y="756987"/>
              </a:cubicBezTo>
              <a:cubicBezTo>
                <a:pt x="65169" y="756985"/>
                <a:pt x="45119" y="726909"/>
                <a:pt x="45118" y="726908"/>
              </a:cubicBezTo>
              <a:lnTo>
                <a:pt x="20052" y="701842"/>
              </a:lnTo>
              <a:cubicBezTo>
                <a:pt x="5851" y="659240"/>
                <a:pt x="25656" y="711183"/>
                <a:pt x="5013" y="676776"/>
              </a:cubicBezTo>
              <a:cubicBezTo>
                <a:pt x="2294" y="672245"/>
                <a:pt x="1671" y="666750"/>
                <a:pt x="0" y="661737"/>
              </a:cubicBezTo>
              <a:cubicBezTo>
                <a:pt x="1671" y="655053"/>
                <a:pt x="476" y="646869"/>
                <a:pt x="5013" y="641684"/>
              </a:cubicBezTo>
              <a:cubicBezTo>
                <a:pt x="28949" y="614328"/>
                <a:pt x="51137" y="620028"/>
                <a:pt x="85223" y="616619"/>
              </a:cubicBezTo>
              <a:cubicBezTo>
                <a:pt x="91907" y="614948"/>
                <a:pt x="98651" y="613498"/>
                <a:pt x="105276" y="611605"/>
              </a:cubicBezTo>
              <a:cubicBezTo>
                <a:pt x="121958" y="606839"/>
                <a:pt x="121570" y="604712"/>
                <a:pt x="140368" y="601579"/>
              </a:cubicBezTo>
              <a:cubicBezTo>
                <a:pt x="153657" y="599364"/>
                <a:pt x="167157" y="598615"/>
                <a:pt x="180473" y="596566"/>
              </a:cubicBezTo>
              <a:cubicBezTo>
                <a:pt x="202943" y="593109"/>
                <a:pt x="202279" y="592639"/>
                <a:pt x="220579" y="586540"/>
              </a:cubicBezTo>
              <a:cubicBezTo>
                <a:pt x="223921" y="583198"/>
                <a:pt x="226377" y="578627"/>
                <a:pt x="230605" y="576513"/>
              </a:cubicBezTo>
              <a:cubicBezTo>
                <a:pt x="240058" y="571786"/>
                <a:pt x="260684" y="566487"/>
                <a:pt x="260684" y="566487"/>
              </a:cubicBezTo>
              <a:cubicBezTo>
                <a:pt x="264026" y="561474"/>
                <a:pt x="266946" y="556153"/>
                <a:pt x="270710" y="551448"/>
              </a:cubicBezTo>
              <a:cubicBezTo>
                <a:pt x="273663" y="547757"/>
                <a:pt x="278305" y="545474"/>
                <a:pt x="280737" y="541421"/>
              </a:cubicBezTo>
              <a:cubicBezTo>
                <a:pt x="283456" y="536890"/>
                <a:pt x="284079" y="531395"/>
                <a:pt x="285750" y="526382"/>
              </a:cubicBezTo>
              <a:cubicBezTo>
                <a:pt x="284079" y="486277"/>
                <a:pt x="283702" y="446096"/>
                <a:pt x="280737" y="406066"/>
              </a:cubicBezTo>
              <a:cubicBezTo>
                <a:pt x="280347" y="400796"/>
                <a:pt x="276249" y="396284"/>
                <a:pt x="275723" y="391026"/>
              </a:cubicBezTo>
              <a:cubicBezTo>
                <a:pt x="272891" y="362710"/>
                <a:pt x="275148" y="333912"/>
                <a:pt x="270710" y="305803"/>
              </a:cubicBezTo>
              <a:cubicBezTo>
                <a:pt x="269835" y="300260"/>
                <a:pt x="247522" y="287252"/>
                <a:pt x="245645" y="285750"/>
              </a:cubicBezTo>
              <a:cubicBezTo>
                <a:pt x="241954" y="282797"/>
                <a:pt x="239309" y="278677"/>
                <a:pt x="235618" y="275724"/>
              </a:cubicBezTo>
              <a:cubicBezTo>
                <a:pt x="204003" y="250433"/>
                <a:pt x="234758" y="279877"/>
                <a:pt x="210552" y="255671"/>
              </a:cubicBezTo>
              <a:cubicBezTo>
                <a:pt x="198347" y="219056"/>
                <a:pt x="203089" y="235845"/>
                <a:pt x="195513" y="205540"/>
              </a:cubicBezTo>
              <a:cubicBezTo>
                <a:pt x="197184" y="197185"/>
                <a:pt x="199400" y="188920"/>
                <a:pt x="200526" y="180474"/>
              </a:cubicBezTo>
              <a:cubicBezTo>
                <a:pt x="202617" y="164793"/>
                <a:pt x="201313" y="133780"/>
                <a:pt x="210552" y="115303"/>
              </a:cubicBezTo>
              <a:cubicBezTo>
                <a:pt x="213247" y="109914"/>
                <a:pt x="217237" y="105276"/>
                <a:pt x="220579" y="100263"/>
              </a:cubicBezTo>
              <a:cubicBezTo>
                <a:pt x="228934" y="75198"/>
                <a:pt x="227263" y="90236"/>
                <a:pt x="215566" y="55145"/>
              </a:cubicBezTo>
              <a:lnTo>
                <a:pt x="210552" y="40105"/>
              </a:lnTo>
              <a:cubicBezTo>
                <a:pt x="214629" y="27875"/>
                <a:pt x="215876" y="19743"/>
                <a:pt x="225592" y="10026"/>
              </a:cubicBezTo>
              <a:cubicBezTo>
                <a:pt x="229852" y="5766"/>
                <a:pt x="235618" y="3342"/>
                <a:pt x="240631" y="0"/>
              </a:cubicBezTo>
              <a:cubicBezTo>
                <a:pt x="247315" y="1671"/>
                <a:pt x="254841" y="1361"/>
                <a:pt x="260684" y="5013"/>
              </a:cubicBezTo>
              <a:cubicBezTo>
                <a:pt x="268700" y="10023"/>
                <a:pt x="275493" y="17201"/>
                <a:pt x="280737" y="25066"/>
              </a:cubicBezTo>
              <a:cubicBezTo>
                <a:pt x="284079" y="30079"/>
                <a:pt x="285654" y="36912"/>
                <a:pt x="290763" y="40105"/>
              </a:cubicBezTo>
              <a:cubicBezTo>
                <a:pt x="299725" y="45706"/>
                <a:pt x="320842" y="50132"/>
                <a:pt x="320842" y="50132"/>
              </a:cubicBezTo>
              <a:cubicBezTo>
                <a:pt x="325855" y="53474"/>
                <a:pt x="331307" y="56237"/>
                <a:pt x="335881" y="60158"/>
              </a:cubicBezTo>
              <a:cubicBezTo>
                <a:pt x="343058" y="66310"/>
                <a:pt x="346966" y="77222"/>
                <a:pt x="355934" y="80211"/>
              </a:cubicBezTo>
              <a:lnTo>
                <a:pt x="370973" y="85224"/>
              </a:lnTo>
              <a:cubicBezTo>
                <a:pt x="413854" y="128101"/>
                <a:pt x="343963" y="61206"/>
                <a:pt x="396039" y="100263"/>
              </a:cubicBezTo>
              <a:cubicBezTo>
                <a:pt x="405492" y="107353"/>
                <a:pt x="409895" y="121593"/>
                <a:pt x="421105" y="125329"/>
              </a:cubicBezTo>
              <a:cubicBezTo>
                <a:pt x="426118" y="127000"/>
                <a:pt x="431018" y="129060"/>
                <a:pt x="436145" y="130342"/>
              </a:cubicBezTo>
              <a:cubicBezTo>
                <a:pt x="455690" y="135228"/>
                <a:pt x="476499" y="137540"/>
                <a:pt x="496302" y="140369"/>
              </a:cubicBezTo>
              <a:cubicBezTo>
                <a:pt x="506328" y="143711"/>
                <a:pt x="518907" y="142922"/>
                <a:pt x="526381" y="150395"/>
              </a:cubicBezTo>
              <a:cubicBezTo>
                <a:pt x="540145" y="164157"/>
                <a:pt x="531924" y="158926"/>
                <a:pt x="551447" y="165434"/>
              </a:cubicBezTo>
              <a:cubicBezTo>
                <a:pt x="558131" y="172118"/>
                <a:pt x="562532" y="182498"/>
                <a:pt x="571500" y="185487"/>
              </a:cubicBezTo>
              <a:lnTo>
                <a:pt x="601579" y="195513"/>
              </a:lnTo>
              <a:cubicBezTo>
                <a:pt x="606592" y="198855"/>
                <a:pt x="611229" y="202845"/>
                <a:pt x="616618" y="205540"/>
              </a:cubicBezTo>
              <a:cubicBezTo>
                <a:pt x="621345" y="207903"/>
                <a:pt x="627200" y="207716"/>
                <a:pt x="631658" y="210553"/>
              </a:cubicBezTo>
              <a:cubicBezTo>
                <a:pt x="645756" y="219524"/>
                <a:pt x="671763" y="240632"/>
                <a:pt x="671763" y="240632"/>
              </a:cubicBezTo>
              <a:cubicBezTo>
                <a:pt x="685291" y="281217"/>
                <a:pt x="686313" y="278172"/>
                <a:pt x="671763" y="350921"/>
              </a:cubicBezTo>
              <a:cubicBezTo>
                <a:pt x="670727" y="356103"/>
                <a:pt x="661736" y="354263"/>
                <a:pt x="656723" y="355934"/>
              </a:cubicBezTo>
              <a:cubicBezTo>
                <a:pt x="634161" y="389779"/>
                <a:pt x="659280" y="347412"/>
                <a:pt x="641684" y="406066"/>
              </a:cubicBezTo>
              <a:cubicBezTo>
                <a:pt x="638974" y="415100"/>
                <a:pt x="628122" y="424641"/>
                <a:pt x="621631" y="431132"/>
              </a:cubicBezTo>
              <a:cubicBezTo>
                <a:pt x="612389" y="468100"/>
                <a:pt x="622320" y="434537"/>
                <a:pt x="606592" y="471237"/>
              </a:cubicBezTo>
              <a:cubicBezTo>
                <a:pt x="596831" y="494014"/>
                <a:pt x="608226" y="479629"/>
                <a:pt x="591552" y="496303"/>
              </a:cubicBezTo>
              <a:lnTo>
                <a:pt x="546434" y="516355"/>
              </a:lnTo>
              <a:close/>
            </a:path>
          </a:pathLst>
        </a:custGeom>
        <a:solidFill>
          <a:srgbClr val="5BEB47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237624</xdr:colOff>
      <xdr:row>23</xdr:row>
      <xdr:rowOff>40105</xdr:rowOff>
    </xdr:from>
    <xdr:to>
      <xdr:col>38</xdr:col>
      <xdr:colOff>74320</xdr:colOff>
      <xdr:row>32</xdr:row>
      <xdr:rowOff>20602</xdr:rowOff>
    </xdr:to>
    <xdr:sp macro="" textlink="">
      <xdr:nvSpPr>
        <xdr:cNvPr id="17" name="Freeform 16"/>
        <xdr:cNvSpPr/>
      </xdr:nvSpPr>
      <xdr:spPr>
        <a:xfrm>
          <a:off x="20506824" y="4421605"/>
          <a:ext cx="2275096" cy="1694997"/>
        </a:xfrm>
        <a:custGeom>
          <a:avLst/>
          <a:gdLst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03158 w 2275973"/>
            <a:gd name="connsiteY52" fmla="*/ 335882 h 1694997"/>
            <a:gd name="connsiteX53" fmla="*/ 1173079 w 2275973"/>
            <a:gd name="connsiteY53" fmla="*/ 325856 h 1694997"/>
            <a:gd name="connsiteX54" fmla="*/ 1163052 w 2275973"/>
            <a:gd name="connsiteY54" fmla="*/ 315829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1894 w 2275973"/>
            <a:gd name="connsiteY67" fmla="*/ 165434 h 1694997"/>
            <a:gd name="connsiteX68" fmla="*/ 691815 w 2275973"/>
            <a:gd name="connsiteY68" fmla="*/ 155408 h 1694997"/>
            <a:gd name="connsiteX69" fmla="*/ 651710 w 2275973"/>
            <a:gd name="connsiteY69" fmla="*/ 120316 h 1694997"/>
            <a:gd name="connsiteX70" fmla="*/ 636671 w 2275973"/>
            <a:gd name="connsiteY70" fmla="*/ 115303 h 1694997"/>
            <a:gd name="connsiteX71" fmla="*/ 611605 w 2275973"/>
            <a:gd name="connsiteY71" fmla="*/ 100263 h 1694997"/>
            <a:gd name="connsiteX72" fmla="*/ 596565 w 2275973"/>
            <a:gd name="connsiteY72" fmla="*/ 90237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03158 w 2275973"/>
            <a:gd name="connsiteY52" fmla="*/ 335882 h 1694997"/>
            <a:gd name="connsiteX53" fmla="*/ 1173079 w 2275973"/>
            <a:gd name="connsiteY53" fmla="*/ 325856 h 1694997"/>
            <a:gd name="connsiteX54" fmla="*/ 1163052 w 2275973"/>
            <a:gd name="connsiteY54" fmla="*/ 315829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1815 w 2275973"/>
            <a:gd name="connsiteY68" fmla="*/ 155408 h 1694997"/>
            <a:gd name="connsiteX69" fmla="*/ 651710 w 2275973"/>
            <a:gd name="connsiteY69" fmla="*/ 120316 h 1694997"/>
            <a:gd name="connsiteX70" fmla="*/ 636671 w 2275973"/>
            <a:gd name="connsiteY70" fmla="*/ 115303 h 1694997"/>
            <a:gd name="connsiteX71" fmla="*/ 611605 w 2275973"/>
            <a:gd name="connsiteY71" fmla="*/ 100263 h 1694997"/>
            <a:gd name="connsiteX72" fmla="*/ 596565 w 2275973"/>
            <a:gd name="connsiteY72" fmla="*/ 90237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03158 w 2275973"/>
            <a:gd name="connsiteY52" fmla="*/ 335882 h 1694997"/>
            <a:gd name="connsiteX53" fmla="*/ 1173079 w 2275973"/>
            <a:gd name="connsiteY53" fmla="*/ 325856 h 1694997"/>
            <a:gd name="connsiteX54" fmla="*/ 1163052 w 2275973"/>
            <a:gd name="connsiteY54" fmla="*/ 315829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51710 w 2275973"/>
            <a:gd name="connsiteY69" fmla="*/ 120316 h 1694997"/>
            <a:gd name="connsiteX70" fmla="*/ 636671 w 2275973"/>
            <a:gd name="connsiteY70" fmla="*/ 115303 h 1694997"/>
            <a:gd name="connsiteX71" fmla="*/ 611605 w 2275973"/>
            <a:gd name="connsiteY71" fmla="*/ 100263 h 1694997"/>
            <a:gd name="connsiteX72" fmla="*/ 596565 w 2275973"/>
            <a:gd name="connsiteY72" fmla="*/ 90237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03158 w 2275973"/>
            <a:gd name="connsiteY52" fmla="*/ 335882 h 1694997"/>
            <a:gd name="connsiteX53" fmla="*/ 1173079 w 2275973"/>
            <a:gd name="connsiteY53" fmla="*/ 325856 h 1694997"/>
            <a:gd name="connsiteX54" fmla="*/ 1163052 w 2275973"/>
            <a:gd name="connsiteY54" fmla="*/ 315829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36671 w 2275973"/>
            <a:gd name="connsiteY70" fmla="*/ 115303 h 1694997"/>
            <a:gd name="connsiteX71" fmla="*/ 611605 w 2275973"/>
            <a:gd name="connsiteY71" fmla="*/ 100263 h 1694997"/>
            <a:gd name="connsiteX72" fmla="*/ 596565 w 2275973"/>
            <a:gd name="connsiteY72" fmla="*/ 90237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03158 w 2275973"/>
            <a:gd name="connsiteY52" fmla="*/ 335882 h 1694997"/>
            <a:gd name="connsiteX53" fmla="*/ 1173079 w 2275973"/>
            <a:gd name="connsiteY53" fmla="*/ 325856 h 1694997"/>
            <a:gd name="connsiteX54" fmla="*/ 1163052 w 2275973"/>
            <a:gd name="connsiteY54" fmla="*/ 315829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36671 w 2275973"/>
            <a:gd name="connsiteY70" fmla="*/ 115303 h 1694997"/>
            <a:gd name="connsiteX71" fmla="*/ 613995 w 2275973"/>
            <a:gd name="connsiteY71" fmla="*/ 90738 h 1694997"/>
            <a:gd name="connsiteX72" fmla="*/ 596565 w 2275973"/>
            <a:gd name="connsiteY72" fmla="*/ 90237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03158 w 2275973"/>
            <a:gd name="connsiteY52" fmla="*/ 335882 h 1694997"/>
            <a:gd name="connsiteX53" fmla="*/ 1173079 w 2275973"/>
            <a:gd name="connsiteY53" fmla="*/ 325856 h 1694997"/>
            <a:gd name="connsiteX54" fmla="*/ 1163052 w 2275973"/>
            <a:gd name="connsiteY54" fmla="*/ 315829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36671 w 2275973"/>
            <a:gd name="connsiteY70" fmla="*/ 115303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03158 w 2275973"/>
            <a:gd name="connsiteY52" fmla="*/ 335882 h 1694997"/>
            <a:gd name="connsiteX53" fmla="*/ 1173079 w 2275973"/>
            <a:gd name="connsiteY53" fmla="*/ 325856 h 1694997"/>
            <a:gd name="connsiteX54" fmla="*/ 1163052 w 2275973"/>
            <a:gd name="connsiteY54" fmla="*/ 315829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8160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03158 w 2275973"/>
            <a:gd name="connsiteY52" fmla="*/ 335882 h 1694997"/>
            <a:gd name="connsiteX53" fmla="*/ 1173079 w 2275973"/>
            <a:gd name="connsiteY53" fmla="*/ 325856 h 1694997"/>
            <a:gd name="connsiteX54" fmla="*/ 1163052 w 2275973"/>
            <a:gd name="connsiteY54" fmla="*/ 315829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3079 w 2275973"/>
            <a:gd name="connsiteY53" fmla="*/ 325856 h 1694997"/>
            <a:gd name="connsiteX54" fmla="*/ 1163052 w 2275973"/>
            <a:gd name="connsiteY54" fmla="*/ 315829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3079 w 2275973"/>
            <a:gd name="connsiteY53" fmla="*/ 325856 h 1694997"/>
            <a:gd name="connsiteX54" fmla="*/ 1172611 w 2275973"/>
            <a:gd name="connsiteY54" fmla="*/ 313448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3079 w 2275973"/>
            <a:gd name="connsiteY53" fmla="*/ 325856 h 1694997"/>
            <a:gd name="connsiteX54" fmla="*/ 1172611 w 2275973"/>
            <a:gd name="connsiteY54" fmla="*/ 313448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3079 w 2275973"/>
            <a:gd name="connsiteY53" fmla="*/ 325856 h 1694997"/>
            <a:gd name="connsiteX54" fmla="*/ 1165442 w 2275973"/>
            <a:gd name="connsiteY54" fmla="*/ 313448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3079 w 2275973"/>
            <a:gd name="connsiteY53" fmla="*/ 325856 h 1694997"/>
            <a:gd name="connsiteX54" fmla="*/ 1182170 w 2275973"/>
            <a:gd name="connsiteY54" fmla="*/ 313448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3079 w 2275973"/>
            <a:gd name="connsiteY53" fmla="*/ 325856 h 1694997"/>
            <a:gd name="connsiteX54" fmla="*/ 1155884 w 2275973"/>
            <a:gd name="connsiteY54" fmla="*/ 313448 h 1694997"/>
            <a:gd name="connsiteX55" fmla="*/ 1143000 w 2275973"/>
            <a:gd name="connsiteY55" fmla="*/ 310816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3079 w 2275973"/>
            <a:gd name="connsiteY53" fmla="*/ 325856 h 1694997"/>
            <a:gd name="connsiteX54" fmla="*/ 1155884 w 2275973"/>
            <a:gd name="connsiteY54" fmla="*/ 313448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3079 w 2275973"/>
            <a:gd name="connsiteY53" fmla="*/ 325856 h 1694997"/>
            <a:gd name="connsiteX54" fmla="*/ 1155884 w 2275973"/>
            <a:gd name="connsiteY54" fmla="*/ 313448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3079 w 2275973"/>
            <a:gd name="connsiteY53" fmla="*/ 325856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239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42473 w 2275973"/>
            <a:gd name="connsiteY57" fmla="*/ 290763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60684 w 2275973"/>
            <a:gd name="connsiteY115" fmla="*/ 636671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35618 w 2275973"/>
            <a:gd name="connsiteY113" fmla="*/ 596566 h 1694997"/>
            <a:gd name="connsiteX114" fmla="*/ 255671 w 2275973"/>
            <a:gd name="connsiteY114" fmla="*/ 621632 h 1694997"/>
            <a:gd name="connsiteX115" fmla="*/ 246345 w 2275973"/>
            <a:gd name="connsiteY115" fmla="*/ 639052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11721 w 2275973"/>
            <a:gd name="connsiteY113" fmla="*/ 596566 h 1694997"/>
            <a:gd name="connsiteX114" fmla="*/ 255671 w 2275973"/>
            <a:gd name="connsiteY114" fmla="*/ 621632 h 1694997"/>
            <a:gd name="connsiteX115" fmla="*/ 246345 w 2275973"/>
            <a:gd name="connsiteY115" fmla="*/ 639052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11721 w 2275973"/>
            <a:gd name="connsiteY113" fmla="*/ 596566 h 1694997"/>
            <a:gd name="connsiteX114" fmla="*/ 236554 w 2275973"/>
            <a:gd name="connsiteY114" fmla="*/ 633539 h 1694997"/>
            <a:gd name="connsiteX115" fmla="*/ 246345 w 2275973"/>
            <a:gd name="connsiteY115" fmla="*/ 639052 h 1694997"/>
            <a:gd name="connsiteX116" fmla="*/ 280736 w 2275973"/>
            <a:gd name="connsiteY116" fmla="*/ 661737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210552 w 2275973"/>
            <a:gd name="connsiteY112" fmla="*/ 571500 h 1694997"/>
            <a:gd name="connsiteX113" fmla="*/ 211721 w 2275973"/>
            <a:gd name="connsiteY113" fmla="*/ 596566 h 1694997"/>
            <a:gd name="connsiteX114" fmla="*/ 236554 w 2275973"/>
            <a:gd name="connsiteY114" fmla="*/ 633539 h 1694997"/>
            <a:gd name="connsiteX115" fmla="*/ 246345 w 2275973"/>
            <a:gd name="connsiteY115" fmla="*/ 639052 h 1694997"/>
            <a:gd name="connsiteX116" fmla="*/ 268788 w 2275973"/>
            <a:gd name="connsiteY116" fmla="*/ 671262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70447 w 2275973"/>
            <a:gd name="connsiteY110" fmla="*/ 541421 h 1694997"/>
            <a:gd name="connsiteX111" fmla="*/ 190500 w 2275973"/>
            <a:gd name="connsiteY111" fmla="*/ 561474 h 1694997"/>
            <a:gd name="connsiteX112" fmla="*/ 191435 w 2275973"/>
            <a:gd name="connsiteY112" fmla="*/ 578644 h 1694997"/>
            <a:gd name="connsiteX113" fmla="*/ 211721 w 2275973"/>
            <a:gd name="connsiteY113" fmla="*/ 596566 h 1694997"/>
            <a:gd name="connsiteX114" fmla="*/ 236554 w 2275973"/>
            <a:gd name="connsiteY114" fmla="*/ 633539 h 1694997"/>
            <a:gd name="connsiteX115" fmla="*/ 246345 w 2275973"/>
            <a:gd name="connsiteY115" fmla="*/ 639052 h 1694997"/>
            <a:gd name="connsiteX116" fmla="*/ 268788 w 2275973"/>
            <a:gd name="connsiteY116" fmla="*/ 671262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63277 w 2275973"/>
            <a:gd name="connsiteY110" fmla="*/ 541421 h 1694997"/>
            <a:gd name="connsiteX111" fmla="*/ 190500 w 2275973"/>
            <a:gd name="connsiteY111" fmla="*/ 561474 h 1694997"/>
            <a:gd name="connsiteX112" fmla="*/ 191435 w 2275973"/>
            <a:gd name="connsiteY112" fmla="*/ 578644 h 1694997"/>
            <a:gd name="connsiteX113" fmla="*/ 211721 w 2275973"/>
            <a:gd name="connsiteY113" fmla="*/ 596566 h 1694997"/>
            <a:gd name="connsiteX114" fmla="*/ 236554 w 2275973"/>
            <a:gd name="connsiteY114" fmla="*/ 633539 h 1694997"/>
            <a:gd name="connsiteX115" fmla="*/ 246345 w 2275973"/>
            <a:gd name="connsiteY115" fmla="*/ 639052 h 1694997"/>
            <a:gd name="connsiteX116" fmla="*/ 268788 w 2275973"/>
            <a:gd name="connsiteY116" fmla="*/ 671262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50394 w 2275973"/>
            <a:gd name="connsiteY109" fmla="*/ 516356 h 1694997"/>
            <a:gd name="connsiteX110" fmla="*/ 163277 w 2275973"/>
            <a:gd name="connsiteY110" fmla="*/ 541421 h 1694997"/>
            <a:gd name="connsiteX111" fmla="*/ 180942 w 2275973"/>
            <a:gd name="connsiteY111" fmla="*/ 563856 h 1694997"/>
            <a:gd name="connsiteX112" fmla="*/ 191435 w 2275973"/>
            <a:gd name="connsiteY112" fmla="*/ 578644 h 1694997"/>
            <a:gd name="connsiteX113" fmla="*/ 211721 w 2275973"/>
            <a:gd name="connsiteY113" fmla="*/ 596566 h 1694997"/>
            <a:gd name="connsiteX114" fmla="*/ 236554 w 2275973"/>
            <a:gd name="connsiteY114" fmla="*/ 633539 h 1694997"/>
            <a:gd name="connsiteX115" fmla="*/ 246345 w 2275973"/>
            <a:gd name="connsiteY115" fmla="*/ 639052 h 1694997"/>
            <a:gd name="connsiteX116" fmla="*/ 268788 w 2275973"/>
            <a:gd name="connsiteY116" fmla="*/ 671262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55921 w 2275973"/>
            <a:gd name="connsiteY11" fmla="*/ 1042737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43226 w 2275973"/>
            <a:gd name="connsiteY109" fmla="*/ 516356 h 1694997"/>
            <a:gd name="connsiteX110" fmla="*/ 163277 w 2275973"/>
            <a:gd name="connsiteY110" fmla="*/ 541421 h 1694997"/>
            <a:gd name="connsiteX111" fmla="*/ 180942 w 2275973"/>
            <a:gd name="connsiteY111" fmla="*/ 563856 h 1694997"/>
            <a:gd name="connsiteX112" fmla="*/ 191435 w 2275973"/>
            <a:gd name="connsiteY112" fmla="*/ 578644 h 1694997"/>
            <a:gd name="connsiteX113" fmla="*/ 211721 w 2275973"/>
            <a:gd name="connsiteY113" fmla="*/ 596566 h 1694997"/>
            <a:gd name="connsiteX114" fmla="*/ 236554 w 2275973"/>
            <a:gd name="connsiteY114" fmla="*/ 633539 h 1694997"/>
            <a:gd name="connsiteX115" fmla="*/ 246345 w 2275973"/>
            <a:gd name="connsiteY115" fmla="*/ 639052 h 1694997"/>
            <a:gd name="connsiteX116" fmla="*/ 268788 w 2275973"/>
            <a:gd name="connsiteY116" fmla="*/ 671262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75973"/>
            <a:gd name="connsiteY0" fmla="*/ 1353553 h 1694997"/>
            <a:gd name="connsiteX1" fmla="*/ 2060408 w 2275973"/>
            <a:gd name="connsiteY1" fmla="*/ 1348540 h 1694997"/>
            <a:gd name="connsiteX2" fmla="*/ 2075447 w 2275973"/>
            <a:gd name="connsiteY2" fmla="*/ 1343527 h 1694997"/>
            <a:gd name="connsiteX3" fmla="*/ 2155658 w 2275973"/>
            <a:gd name="connsiteY3" fmla="*/ 1338513 h 1694997"/>
            <a:gd name="connsiteX4" fmla="*/ 2170697 w 2275973"/>
            <a:gd name="connsiteY4" fmla="*/ 1333500 h 1694997"/>
            <a:gd name="connsiteX5" fmla="*/ 2185736 w 2275973"/>
            <a:gd name="connsiteY5" fmla="*/ 1323474 h 1694997"/>
            <a:gd name="connsiteX6" fmla="*/ 2205789 w 2275973"/>
            <a:gd name="connsiteY6" fmla="*/ 1318461 h 1694997"/>
            <a:gd name="connsiteX7" fmla="*/ 2215815 w 2275973"/>
            <a:gd name="connsiteY7" fmla="*/ 1308434 h 1694997"/>
            <a:gd name="connsiteX8" fmla="*/ 2265947 w 2275973"/>
            <a:gd name="connsiteY8" fmla="*/ 1293395 h 1694997"/>
            <a:gd name="connsiteX9" fmla="*/ 2275973 w 2275973"/>
            <a:gd name="connsiteY9" fmla="*/ 1233237 h 1694997"/>
            <a:gd name="connsiteX10" fmla="*/ 2270960 w 2275973"/>
            <a:gd name="connsiteY10" fmla="*/ 1072816 h 1694997"/>
            <a:gd name="connsiteX11" fmla="*/ 2270259 w 2275973"/>
            <a:gd name="connsiteY11" fmla="*/ 1037974 h 1694997"/>
            <a:gd name="connsiteX12" fmla="*/ 2240881 w 2275973"/>
            <a:gd name="connsiteY12" fmla="*/ 1012658 h 1694997"/>
            <a:gd name="connsiteX13" fmla="*/ 2200776 w 2275973"/>
            <a:gd name="connsiteY13" fmla="*/ 997619 h 1694997"/>
            <a:gd name="connsiteX14" fmla="*/ 2030329 w 2275973"/>
            <a:gd name="connsiteY14" fmla="*/ 982579 h 1694997"/>
            <a:gd name="connsiteX15" fmla="*/ 1990223 w 2275973"/>
            <a:gd name="connsiteY15" fmla="*/ 977566 h 1694997"/>
            <a:gd name="connsiteX16" fmla="*/ 1960144 w 2275973"/>
            <a:gd name="connsiteY16" fmla="*/ 967540 h 1694997"/>
            <a:gd name="connsiteX17" fmla="*/ 1930065 w 2275973"/>
            <a:gd name="connsiteY17" fmla="*/ 957513 h 1694997"/>
            <a:gd name="connsiteX18" fmla="*/ 1915026 w 2275973"/>
            <a:gd name="connsiteY18" fmla="*/ 952500 h 1694997"/>
            <a:gd name="connsiteX19" fmla="*/ 1894973 w 2275973"/>
            <a:gd name="connsiteY19" fmla="*/ 947487 h 1694997"/>
            <a:gd name="connsiteX20" fmla="*/ 1879934 w 2275973"/>
            <a:gd name="connsiteY20" fmla="*/ 937461 h 1694997"/>
            <a:gd name="connsiteX21" fmla="*/ 1864894 w 2275973"/>
            <a:gd name="connsiteY21" fmla="*/ 932448 h 1694997"/>
            <a:gd name="connsiteX22" fmla="*/ 1859881 w 2275973"/>
            <a:gd name="connsiteY22" fmla="*/ 917408 h 1694997"/>
            <a:gd name="connsiteX23" fmla="*/ 1839829 w 2275973"/>
            <a:gd name="connsiteY23" fmla="*/ 892342 h 1694997"/>
            <a:gd name="connsiteX24" fmla="*/ 1824789 w 2275973"/>
            <a:gd name="connsiteY24" fmla="*/ 862263 h 1694997"/>
            <a:gd name="connsiteX25" fmla="*/ 1809750 w 2275973"/>
            <a:gd name="connsiteY25" fmla="*/ 852237 h 1694997"/>
            <a:gd name="connsiteX26" fmla="*/ 1804736 w 2275973"/>
            <a:gd name="connsiteY26" fmla="*/ 837198 h 1694997"/>
            <a:gd name="connsiteX27" fmla="*/ 1759618 w 2275973"/>
            <a:gd name="connsiteY27" fmla="*/ 787066 h 1694997"/>
            <a:gd name="connsiteX28" fmla="*/ 1724526 w 2275973"/>
            <a:gd name="connsiteY28" fmla="*/ 777040 h 1694997"/>
            <a:gd name="connsiteX29" fmla="*/ 1709486 w 2275973"/>
            <a:gd name="connsiteY29" fmla="*/ 772027 h 1694997"/>
            <a:gd name="connsiteX30" fmla="*/ 1689434 w 2275973"/>
            <a:gd name="connsiteY30" fmla="*/ 731921 h 1694997"/>
            <a:gd name="connsiteX31" fmla="*/ 1674394 w 2275973"/>
            <a:gd name="connsiteY31" fmla="*/ 726908 h 1694997"/>
            <a:gd name="connsiteX32" fmla="*/ 1664368 w 2275973"/>
            <a:gd name="connsiteY32" fmla="*/ 711869 h 1694997"/>
            <a:gd name="connsiteX33" fmla="*/ 1644315 w 2275973"/>
            <a:gd name="connsiteY33" fmla="*/ 691816 h 1694997"/>
            <a:gd name="connsiteX34" fmla="*/ 1614236 w 2275973"/>
            <a:gd name="connsiteY34" fmla="*/ 656724 h 1694997"/>
            <a:gd name="connsiteX35" fmla="*/ 1599197 w 2275973"/>
            <a:gd name="connsiteY35" fmla="*/ 651711 h 1694997"/>
            <a:gd name="connsiteX36" fmla="*/ 1584158 w 2275973"/>
            <a:gd name="connsiteY36" fmla="*/ 586540 h 1694997"/>
            <a:gd name="connsiteX37" fmla="*/ 1579144 w 2275973"/>
            <a:gd name="connsiteY37" fmla="*/ 571500 h 1694997"/>
            <a:gd name="connsiteX38" fmla="*/ 1554079 w 2275973"/>
            <a:gd name="connsiteY38" fmla="*/ 556461 h 1694997"/>
            <a:gd name="connsiteX39" fmla="*/ 1524000 w 2275973"/>
            <a:gd name="connsiteY39" fmla="*/ 541421 h 1694997"/>
            <a:gd name="connsiteX40" fmla="*/ 1498934 w 2275973"/>
            <a:gd name="connsiteY40" fmla="*/ 516356 h 1694997"/>
            <a:gd name="connsiteX41" fmla="*/ 1468855 w 2275973"/>
            <a:gd name="connsiteY41" fmla="*/ 501316 h 1694997"/>
            <a:gd name="connsiteX42" fmla="*/ 1453815 w 2275973"/>
            <a:gd name="connsiteY42" fmla="*/ 476250 h 1694997"/>
            <a:gd name="connsiteX43" fmla="*/ 1443789 w 2275973"/>
            <a:gd name="connsiteY43" fmla="*/ 461211 h 1694997"/>
            <a:gd name="connsiteX44" fmla="*/ 1423736 w 2275973"/>
            <a:gd name="connsiteY44" fmla="*/ 441158 h 1694997"/>
            <a:gd name="connsiteX45" fmla="*/ 1393658 w 2275973"/>
            <a:gd name="connsiteY45" fmla="*/ 431132 h 1694997"/>
            <a:gd name="connsiteX46" fmla="*/ 1373605 w 2275973"/>
            <a:gd name="connsiteY46" fmla="*/ 411079 h 1694997"/>
            <a:gd name="connsiteX47" fmla="*/ 1353552 w 2275973"/>
            <a:gd name="connsiteY47" fmla="*/ 386013 h 1694997"/>
            <a:gd name="connsiteX48" fmla="*/ 1323473 w 2275973"/>
            <a:gd name="connsiteY48" fmla="*/ 375987 h 1694997"/>
            <a:gd name="connsiteX49" fmla="*/ 1308434 w 2275973"/>
            <a:gd name="connsiteY49" fmla="*/ 370974 h 1694997"/>
            <a:gd name="connsiteX50" fmla="*/ 1303421 w 2275973"/>
            <a:gd name="connsiteY50" fmla="*/ 355934 h 1694997"/>
            <a:gd name="connsiteX51" fmla="*/ 1273342 w 2275973"/>
            <a:gd name="connsiteY51" fmla="*/ 345908 h 1694997"/>
            <a:gd name="connsiteX52" fmla="*/ 1224665 w 2275973"/>
            <a:gd name="connsiteY52" fmla="*/ 326357 h 1694997"/>
            <a:gd name="connsiteX53" fmla="*/ 1175469 w 2275973"/>
            <a:gd name="connsiteY53" fmla="*/ 311568 h 1694997"/>
            <a:gd name="connsiteX54" fmla="*/ 1141545 w 2275973"/>
            <a:gd name="connsiteY54" fmla="*/ 306304 h 1694997"/>
            <a:gd name="connsiteX55" fmla="*/ 1092817 w 2275973"/>
            <a:gd name="connsiteY55" fmla="*/ 315578 h 1694997"/>
            <a:gd name="connsiteX56" fmla="*/ 987592 w 2275973"/>
            <a:gd name="connsiteY56" fmla="*/ 305803 h 1694997"/>
            <a:gd name="connsiteX57" fmla="*/ 961591 w 2275973"/>
            <a:gd name="connsiteY57" fmla="*/ 293144 h 1694997"/>
            <a:gd name="connsiteX58" fmla="*/ 927434 w 2275973"/>
            <a:gd name="connsiteY58" fmla="*/ 285750 h 1694997"/>
            <a:gd name="connsiteX59" fmla="*/ 919564 w 2275973"/>
            <a:gd name="connsiteY59" fmla="*/ 280737 h 1694997"/>
            <a:gd name="connsiteX60" fmla="*/ 882315 w 2275973"/>
            <a:gd name="connsiteY60" fmla="*/ 245645 h 1694997"/>
            <a:gd name="connsiteX61" fmla="*/ 852236 w 2275973"/>
            <a:gd name="connsiteY61" fmla="*/ 235619 h 1694997"/>
            <a:gd name="connsiteX62" fmla="*/ 837197 w 2275973"/>
            <a:gd name="connsiteY62" fmla="*/ 225592 h 1694997"/>
            <a:gd name="connsiteX63" fmla="*/ 822158 w 2275973"/>
            <a:gd name="connsiteY63" fmla="*/ 220579 h 1694997"/>
            <a:gd name="connsiteX64" fmla="*/ 797092 w 2275973"/>
            <a:gd name="connsiteY64" fmla="*/ 205540 h 1694997"/>
            <a:gd name="connsiteX65" fmla="*/ 772026 w 2275973"/>
            <a:gd name="connsiteY65" fmla="*/ 185487 h 1694997"/>
            <a:gd name="connsiteX66" fmla="*/ 756986 w 2275973"/>
            <a:gd name="connsiteY66" fmla="*/ 180474 h 1694997"/>
            <a:gd name="connsiteX67" fmla="*/ 724284 w 2275973"/>
            <a:gd name="connsiteY67" fmla="*/ 155909 h 1694997"/>
            <a:gd name="connsiteX68" fmla="*/ 694205 w 2275973"/>
            <a:gd name="connsiteY68" fmla="*/ 143502 h 1694997"/>
            <a:gd name="connsiteX69" fmla="*/ 661268 w 2275973"/>
            <a:gd name="connsiteY69" fmla="*/ 110791 h 1694997"/>
            <a:gd name="connsiteX70" fmla="*/ 641450 w 2275973"/>
            <a:gd name="connsiteY70" fmla="*/ 101016 h 1694997"/>
            <a:gd name="connsiteX71" fmla="*/ 613995 w 2275973"/>
            <a:gd name="connsiteY71" fmla="*/ 90738 h 1694997"/>
            <a:gd name="connsiteX72" fmla="*/ 601345 w 2275973"/>
            <a:gd name="connsiteY72" fmla="*/ 85474 h 1694997"/>
            <a:gd name="connsiteX73" fmla="*/ 536408 w 2275973"/>
            <a:gd name="connsiteY73" fmla="*/ 65171 h 1694997"/>
            <a:gd name="connsiteX74" fmla="*/ 491289 w 2275973"/>
            <a:gd name="connsiteY74" fmla="*/ 50132 h 1694997"/>
            <a:gd name="connsiteX75" fmla="*/ 476250 w 2275973"/>
            <a:gd name="connsiteY75" fmla="*/ 45119 h 1694997"/>
            <a:gd name="connsiteX76" fmla="*/ 441158 w 2275973"/>
            <a:gd name="connsiteY76" fmla="*/ 30079 h 1694997"/>
            <a:gd name="connsiteX77" fmla="*/ 411079 w 2275973"/>
            <a:gd name="connsiteY77" fmla="*/ 20053 h 1694997"/>
            <a:gd name="connsiteX78" fmla="*/ 401052 w 2275973"/>
            <a:gd name="connsiteY78" fmla="*/ 10027 h 1694997"/>
            <a:gd name="connsiteX79" fmla="*/ 370973 w 2275973"/>
            <a:gd name="connsiteY79" fmla="*/ 0 h 1694997"/>
            <a:gd name="connsiteX80" fmla="*/ 320842 w 2275973"/>
            <a:gd name="connsiteY80" fmla="*/ 5013 h 1694997"/>
            <a:gd name="connsiteX81" fmla="*/ 310815 w 2275973"/>
            <a:gd name="connsiteY81" fmla="*/ 15040 h 1694997"/>
            <a:gd name="connsiteX82" fmla="*/ 275723 w 2275973"/>
            <a:gd name="connsiteY82" fmla="*/ 25066 h 1694997"/>
            <a:gd name="connsiteX83" fmla="*/ 190500 w 2275973"/>
            <a:gd name="connsiteY83" fmla="*/ 30079 h 1694997"/>
            <a:gd name="connsiteX84" fmla="*/ 150394 w 2275973"/>
            <a:gd name="connsiteY84" fmla="*/ 50132 h 1694997"/>
            <a:gd name="connsiteX85" fmla="*/ 145381 w 2275973"/>
            <a:gd name="connsiteY85" fmla="*/ 65171 h 1694997"/>
            <a:gd name="connsiteX86" fmla="*/ 205539 w 2275973"/>
            <a:gd name="connsiteY86" fmla="*/ 95250 h 1694997"/>
            <a:gd name="connsiteX87" fmla="*/ 220579 w 2275973"/>
            <a:gd name="connsiteY87" fmla="*/ 120316 h 1694997"/>
            <a:gd name="connsiteX88" fmla="*/ 230605 w 2275973"/>
            <a:gd name="connsiteY88" fmla="*/ 135356 h 1694997"/>
            <a:gd name="connsiteX89" fmla="*/ 245644 w 2275973"/>
            <a:gd name="connsiteY89" fmla="*/ 145382 h 1694997"/>
            <a:gd name="connsiteX90" fmla="*/ 265697 w 2275973"/>
            <a:gd name="connsiteY90" fmla="*/ 170448 h 1694997"/>
            <a:gd name="connsiteX91" fmla="*/ 280736 w 2275973"/>
            <a:gd name="connsiteY91" fmla="*/ 180474 h 1694997"/>
            <a:gd name="connsiteX92" fmla="*/ 275723 w 2275973"/>
            <a:gd name="connsiteY92" fmla="*/ 195513 h 1694997"/>
            <a:gd name="connsiteX93" fmla="*/ 250658 w 2275973"/>
            <a:gd name="connsiteY93" fmla="*/ 200527 h 1694997"/>
            <a:gd name="connsiteX94" fmla="*/ 240631 w 2275973"/>
            <a:gd name="connsiteY94" fmla="*/ 210553 h 1694997"/>
            <a:gd name="connsiteX95" fmla="*/ 235618 w 2275973"/>
            <a:gd name="connsiteY95" fmla="*/ 235619 h 1694997"/>
            <a:gd name="connsiteX96" fmla="*/ 220579 w 2275973"/>
            <a:gd name="connsiteY96" fmla="*/ 240632 h 1694997"/>
            <a:gd name="connsiteX97" fmla="*/ 150394 w 2275973"/>
            <a:gd name="connsiteY97" fmla="*/ 245645 h 1694997"/>
            <a:gd name="connsiteX98" fmla="*/ 135355 w 2275973"/>
            <a:gd name="connsiteY98" fmla="*/ 310816 h 1694997"/>
            <a:gd name="connsiteX99" fmla="*/ 90236 w 2275973"/>
            <a:gd name="connsiteY99" fmla="*/ 305803 h 1694997"/>
            <a:gd name="connsiteX100" fmla="*/ 50131 w 2275973"/>
            <a:gd name="connsiteY100" fmla="*/ 295777 h 1694997"/>
            <a:gd name="connsiteX101" fmla="*/ 10026 w 2275973"/>
            <a:gd name="connsiteY101" fmla="*/ 300790 h 1694997"/>
            <a:gd name="connsiteX102" fmla="*/ 5013 w 2275973"/>
            <a:gd name="connsiteY102" fmla="*/ 320842 h 1694997"/>
            <a:gd name="connsiteX103" fmla="*/ 0 w 2275973"/>
            <a:gd name="connsiteY103" fmla="*/ 335882 h 1694997"/>
            <a:gd name="connsiteX104" fmla="*/ 5013 w 2275973"/>
            <a:gd name="connsiteY104" fmla="*/ 436145 h 1694997"/>
            <a:gd name="connsiteX105" fmla="*/ 20052 w 2275973"/>
            <a:gd name="connsiteY105" fmla="*/ 441158 h 1694997"/>
            <a:gd name="connsiteX106" fmla="*/ 60158 w 2275973"/>
            <a:gd name="connsiteY106" fmla="*/ 471237 h 1694997"/>
            <a:gd name="connsiteX107" fmla="*/ 90236 w 2275973"/>
            <a:gd name="connsiteY107" fmla="*/ 481263 h 1694997"/>
            <a:gd name="connsiteX108" fmla="*/ 125329 w 2275973"/>
            <a:gd name="connsiteY108" fmla="*/ 496303 h 1694997"/>
            <a:gd name="connsiteX109" fmla="*/ 143226 w 2275973"/>
            <a:gd name="connsiteY109" fmla="*/ 516356 h 1694997"/>
            <a:gd name="connsiteX110" fmla="*/ 163277 w 2275973"/>
            <a:gd name="connsiteY110" fmla="*/ 541421 h 1694997"/>
            <a:gd name="connsiteX111" fmla="*/ 180942 w 2275973"/>
            <a:gd name="connsiteY111" fmla="*/ 563856 h 1694997"/>
            <a:gd name="connsiteX112" fmla="*/ 191435 w 2275973"/>
            <a:gd name="connsiteY112" fmla="*/ 578644 h 1694997"/>
            <a:gd name="connsiteX113" fmla="*/ 211721 w 2275973"/>
            <a:gd name="connsiteY113" fmla="*/ 596566 h 1694997"/>
            <a:gd name="connsiteX114" fmla="*/ 236554 w 2275973"/>
            <a:gd name="connsiteY114" fmla="*/ 633539 h 1694997"/>
            <a:gd name="connsiteX115" fmla="*/ 246345 w 2275973"/>
            <a:gd name="connsiteY115" fmla="*/ 639052 h 1694997"/>
            <a:gd name="connsiteX116" fmla="*/ 268788 w 2275973"/>
            <a:gd name="connsiteY116" fmla="*/ 671262 h 1694997"/>
            <a:gd name="connsiteX117" fmla="*/ 290763 w 2275973"/>
            <a:gd name="connsiteY117" fmla="*/ 691816 h 1694997"/>
            <a:gd name="connsiteX118" fmla="*/ 300789 w 2275973"/>
            <a:gd name="connsiteY118" fmla="*/ 706856 h 1694997"/>
            <a:gd name="connsiteX119" fmla="*/ 305802 w 2275973"/>
            <a:gd name="connsiteY119" fmla="*/ 721895 h 1694997"/>
            <a:gd name="connsiteX120" fmla="*/ 325855 w 2275973"/>
            <a:gd name="connsiteY120" fmla="*/ 741948 h 1694997"/>
            <a:gd name="connsiteX121" fmla="*/ 335881 w 2275973"/>
            <a:gd name="connsiteY121" fmla="*/ 772027 h 1694997"/>
            <a:gd name="connsiteX122" fmla="*/ 340894 w 2275973"/>
            <a:gd name="connsiteY122" fmla="*/ 787066 h 1694997"/>
            <a:gd name="connsiteX123" fmla="*/ 350921 w 2275973"/>
            <a:gd name="connsiteY123" fmla="*/ 802106 h 1694997"/>
            <a:gd name="connsiteX124" fmla="*/ 365960 w 2275973"/>
            <a:gd name="connsiteY124" fmla="*/ 832184 h 1694997"/>
            <a:gd name="connsiteX125" fmla="*/ 370973 w 2275973"/>
            <a:gd name="connsiteY125" fmla="*/ 847224 h 1694997"/>
            <a:gd name="connsiteX126" fmla="*/ 406065 w 2275973"/>
            <a:gd name="connsiteY126" fmla="*/ 877303 h 1694997"/>
            <a:gd name="connsiteX127" fmla="*/ 421105 w 2275973"/>
            <a:gd name="connsiteY127" fmla="*/ 882316 h 1694997"/>
            <a:gd name="connsiteX128" fmla="*/ 451184 w 2275973"/>
            <a:gd name="connsiteY128" fmla="*/ 897356 h 1694997"/>
            <a:gd name="connsiteX129" fmla="*/ 476250 w 2275973"/>
            <a:gd name="connsiteY129" fmla="*/ 912395 h 1694997"/>
            <a:gd name="connsiteX130" fmla="*/ 491289 w 2275973"/>
            <a:gd name="connsiteY130" fmla="*/ 917408 h 1694997"/>
            <a:gd name="connsiteX131" fmla="*/ 521368 w 2275973"/>
            <a:gd name="connsiteY131" fmla="*/ 932448 h 1694997"/>
            <a:gd name="connsiteX132" fmla="*/ 531394 w 2275973"/>
            <a:gd name="connsiteY132" fmla="*/ 947487 h 1694997"/>
            <a:gd name="connsiteX133" fmla="*/ 541421 w 2275973"/>
            <a:gd name="connsiteY133" fmla="*/ 957513 h 1694997"/>
            <a:gd name="connsiteX134" fmla="*/ 546434 w 2275973"/>
            <a:gd name="connsiteY134" fmla="*/ 972553 h 1694997"/>
            <a:gd name="connsiteX135" fmla="*/ 566486 w 2275973"/>
            <a:gd name="connsiteY135" fmla="*/ 1002632 h 1694997"/>
            <a:gd name="connsiteX136" fmla="*/ 571500 w 2275973"/>
            <a:gd name="connsiteY136" fmla="*/ 1022684 h 1694997"/>
            <a:gd name="connsiteX137" fmla="*/ 581526 w 2275973"/>
            <a:gd name="connsiteY137" fmla="*/ 1032711 h 1694997"/>
            <a:gd name="connsiteX138" fmla="*/ 591552 w 2275973"/>
            <a:gd name="connsiteY138" fmla="*/ 1062790 h 1694997"/>
            <a:gd name="connsiteX139" fmla="*/ 596565 w 2275973"/>
            <a:gd name="connsiteY139" fmla="*/ 1077829 h 1694997"/>
            <a:gd name="connsiteX140" fmla="*/ 601579 w 2275973"/>
            <a:gd name="connsiteY140" fmla="*/ 1132974 h 1694997"/>
            <a:gd name="connsiteX141" fmla="*/ 616618 w 2275973"/>
            <a:gd name="connsiteY141" fmla="*/ 1178092 h 1694997"/>
            <a:gd name="connsiteX142" fmla="*/ 631658 w 2275973"/>
            <a:gd name="connsiteY142" fmla="*/ 1208171 h 1694997"/>
            <a:gd name="connsiteX143" fmla="*/ 651710 w 2275973"/>
            <a:gd name="connsiteY143" fmla="*/ 1243263 h 1694997"/>
            <a:gd name="connsiteX144" fmla="*/ 661736 w 2275973"/>
            <a:gd name="connsiteY144" fmla="*/ 1253290 h 1694997"/>
            <a:gd name="connsiteX145" fmla="*/ 666750 w 2275973"/>
            <a:gd name="connsiteY145" fmla="*/ 1268329 h 1694997"/>
            <a:gd name="connsiteX146" fmla="*/ 696829 w 2275973"/>
            <a:gd name="connsiteY146" fmla="*/ 1288382 h 1694997"/>
            <a:gd name="connsiteX147" fmla="*/ 726908 w 2275973"/>
            <a:gd name="connsiteY147" fmla="*/ 1313448 h 1694997"/>
            <a:gd name="connsiteX148" fmla="*/ 736934 w 2275973"/>
            <a:gd name="connsiteY148" fmla="*/ 1328487 h 1694997"/>
            <a:gd name="connsiteX149" fmla="*/ 767013 w 2275973"/>
            <a:gd name="connsiteY149" fmla="*/ 1348540 h 1694997"/>
            <a:gd name="connsiteX150" fmla="*/ 782052 w 2275973"/>
            <a:gd name="connsiteY150" fmla="*/ 1358566 h 1694997"/>
            <a:gd name="connsiteX151" fmla="*/ 792079 w 2275973"/>
            <a:gd name="connsiteY151" fmla="*/ 1368592 h 1694997"/>
            <a:gd name="connsiteX152" fmla="*/ 817144 w 2275973"/>
            <a:gd name="connsiteY152" fmla="*/ 1373606 h 1694997"/>
            <a:gd name="connsiteX153" fmla="*/ 822158 w 2275973"/>
            <a:gd name="connsiteY153" fmla="*/ 1388645 h 1694997"/>
            <a:gd name="connsiteX154" fmla="*/ 837197 w 2275973"/>
            <a:gd name="connsiteY154" fmla="*/ 1398671 h 1694997"/>
            <a:gd name="connsiteX155" fmla="*/ 862263 w 2275973"/>
            <a:gd name="connsiteY155" fmla="*/ 1418724 h 1694997"/>
            <a:gd name="connsiteX156" fmla="*/ 872289 w 2275973"/>
            <a:gd name="connsiteY156" fmla="*/ 1438777 h 1694997"/>
            <a:gd name="connsiteX157" fmla="*/ 887329 w 2275973"/>
            <a:gd name="connsiteY157" fmla="*/ 1448803 h 1694997"/>
            <a:gd name="connsiteX158" fmla="*/ 897355 w 2275973"/>
            <a:gd name="connsiteY158" fmla="*/ 1463842 h 1694997"/>
            <a:gd name="connsiteX159" fmla="*/ 912394 w 2275973"/>
            <a:gd name="connsiteY159" fmla="*/ 1473869 h 1694997"/>
            <a:gd name="connsiteX160" fmla="*/ 922421 w 2275973"/>
            <a:gd name="connsiteY160" fmla="*/ 1483895 h 1694997"/>
            <a:gd name="connsiteX161" fmla="*/ 932447 w 2275973"/>
            <a:gd name="connsiteY161" fmla="*/ 1513974 h 1694997"/>
            <a:gd name="connsiteX162" fmla="*/ 947486 w 2275973"/>
            <a:gd name="connsiteY162" fmla="*/ 1524000 h 1694997"/>
            <a:gd name="connsiteX163" fmla="*/ 982579 w 2275973"/>
            <a:gd name="connsiteY163" fmla="*/ 1564106 h 1694997"/>
            <a:gd name="connsiteX164" fmla="*/ 1002631 w 2275973"/>
            <a:gd name="connsiteY164" fmla="*/ 1584158 h 1694997"/>
            <a:gd name="connsiteX165" fmla="*/ 1007644 w 2275973"/>
            <a:gd name="connsiteY165" fmla="*/ 1599198 h 1694997"/>
            <a:gd name="connsiteX166" fmla="*/ 1047750 w 2275973"/>
            <a:gd name="connsiteY166" fmla="*/ 1634290 h 1694997"/>
            <a:gd name="connsiteX167" fmla="*/ 1057776 w 2275973"/>
            <a:gd name="connsiteY167" fmla="*/ 1649329 h 1694997"/>
            <a:gd name="connsiteX168" fmla="*/ 1092868 w 2275973"/>
            <a:gd name="connsiteY168" fmla="*/ 1679408 h 1694997"/>
            <a:gd name="connsiteX169" fmla="*/ 1102894 w 2275973"/>
            <a:gd name="connsiteY169" fmla="*/ 1694448 h 1694997"/>
            <a:gd name="connsiteX170" fmla="*/ 1117934 w 2275973"/>
            <a:gd name="connsiteY170" fmla="*/ 1689434 h 1694997"/>
            <a:gd name="connsiteX171" fmla="*/ 1132973 w 2275973"/>
            <a:gd name="connsiteY171" fmla="*/ 1659356 h 1694997"/>
            <a:gd name="connsiteX172" fmla="*/ 1122947 w 2275973"/>
            <a:gd name="connsiteY172" fmla="*/ 1649329 h 1694997"/>
            <a:gd name="connsiteX173" fmla="*/ 1132973 w 2275973"/>
            <a:gd name="connsiteY173" fmla="*/ 1564106 h 1694997"/>
            <a:gd name="connsiteX174" fmla="*/ 1153026 w 2275973"/>
            <a:gd name="connsiteY174" fmla="*/ 1569119 h 1694997"/>
            <a:gd name="connsiteX175" fmla="*/ 1168065 w 2275973"/>
            <a:gd name="connsiteY175" fmla="*/ 1599198 h 1694997"/>
            <a:gd name="connsiteX176" fmla="*/ 1288381 w 2275973"/>
            <a:gd name="connsiteY176" fmla="*/ 1604211 h 1694997"/>
            <a:gd name="connsiteX177" fmla="*/ 1423736 w 2275973"/>
            <a:gd name="connsiteY177" fmla="*/ 1614237 h 1694997"/>
            <a:gd name="connsiteX178" fmla="*/ 1463842 w 2275973"/>
            <a:gd name="connsiteY178" fmla="*/ 1619250 h 1694997"/>
            <a:gd name="connsiteX179" fmla="*/ 1493921 w 2275973"/>
            <a:gd name="connsiteY179" fmla="*/ 1629277 h 1694997"/>
            <a:gd name="connsiteX180" fmla="*/ 1569118 w 2275973"/>
            <a:gd name="connsiteY180" fmla="*/ 1619250 h 1694997"/>
            <a:gd name="connsiteX181" fmla="*/ 1584158 w 2275973"/>
            <a:gd name="connsiteY181" fmla="*/ 1614237 h 1694997"/>
            <a:gd name="connsiteX182" fmla="*/ 1599197 w 2275973"/>
            <a:gd name="connsiteY182" fmla="*/ 1549066 h 1694997"/>
            <a:gd name="connsiteX183" fmla="*/ 1609223 w 2275973"/>
            <a:gd name="connsiteY183" fmla="*/ 1534027 h 1694997"/>
            <a:gd name="connsiteX184" fmla="*/ 1619250 w 2275973"/>
            <a:gd name="connsiteY184" fmla="*/ 1503948 h 1694997"/>
            <a:gd name="connsiteX185" fmla="*/ 1644315 w 2275973"/>
            <a:gd name="connsiteY185" fmla="*/ 1478882 h 1694997"/>
            <a:gd name="connsiteX186" fmla="*/ 1654342 w 2275973"/>
            <a:gd name="connsiteY186" fmla="*/ 1468856 h 1694997"/>
            <a:gd name="connsiteX187" fmla="*/ 1674394 w 2275973"/>
            <a:gd name="connsiteY187" fmla="*/ 1463842 h 1694997"/>
            <a:gd name="connsiteX188" fmla="*/ 1744579 w 2275973"/>
            <a:gd name="connsiteY188" fmla="*/ 1448803 h 1694997"/>
            <a:gd name="connsiteX189" fmla="*/ 1759618 w 2275973"/>
            <a:gd name="connsiteY189" fmla="*/ 1443790 h 1694997"/>
            <a:gd name="connsiteX190" fmla="*/ 1834815 w 2275973"/>
            <a:gd name="connsiteY190" fmla="*/ 1428750 h 1694997"/>
            <a:gd name="connsiteX191" fmla="*/ 1844842 w 2275973"/>
            <a:gd name="connsiteY191" fmla="*/ 1418724 h 1694997"/>
            <a:gd name="connsiteX192" fmla="*/ 1859881 w 2275973"/>
            <a:gd name="connsiteY192" fmla="*/ 1413711 h 1694997"/>
            <a:gd name="connsiteX193" fmla="*/ 1930065 w 2275973"/>
            <a:gd name="connsiteY193" fmla="*/ 1408698 h 1694997"/>
            <a:gd name="connsiteX194" fmla="*/ 1945105 w 2275973"/>
            <a:gd name="connsiteY194" fmla="*/ 1403684 h 1694997"/>
            <a:gd name="connsiteX195" fmla="*/ 2020302 w 2275973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0776 w 2283142"/>
            <a:gd name="connsiteY13" fmla="*/ 997619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09750 w 2283142"/>
            <a:gd name="connsiteY25" fmla="*/ 852237 h 1694997"/>
            <a:gd name="connsiteX26" fmla="*/ 1804736 w 2283142"/>
            <a:gd name="connsiteY26" fmla="*/ 837198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51711 h 1694997"/>
            <a:gd name="connsiteX36" fmla="*/ 1584158 w 2283142"/>
            <a:gd name="connsiteY36" fmla="*/ 586540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68855 w 2283142"/>
            <a:gd name="connsiteY41" fmla="*/ 501316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7945 w 2283142"/>
            <a:gd name="connsiteY13" fmla="*/ 995238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09750 w 2283142"/>
            <a:gd name="connsiteY25" fmla="*/ 852237 h 1694997"/>
            <a:gd name="connsiteX26" fmla="*/ 1804736 w 2283142"/>
            <a:gd name="connsiteY26" fmla="*/ 837198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51711 h 1694997"/>
            <a:gd name="connsiteX36" fmla="*/ 1584158 w 2283142"/>
            <a:gd name="connsiteY36" fmla="*/ 586540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68855 w 2283142"/>
            <a:gd name="connsiteY41" fmla="*/ 501316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7945 w 2283142"/>
            <a:gd name="connsiteY13" fmla="*/ 995238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09750 w 2283142"/>
            <a:gd name="connsiteY25" fmla="*/ 852237 h 1694997"/>
            <a:gd name="connsiteX26" fmla="*/ 1804736 w 2283142"/>
            <a:gd name="connsiteY26" fmla="*/ 837198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51711 h 1694997"/>
            <a:gd name="connsiteX36" fmla="*/ 1584158 w 2283142"/>
            <a:gd name="connsiteY36" fmla="*/ 586540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68855 w 2283142"/>
            <a:gd name="connsiteY41" fmla="*/ 501316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7945 w 2283142"/>
            <a:gd name="connsiteY13" fmla="*/ 995238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09750 w 2283142"/>
            <a:gd name="connsiteY25" fmla="*/ 852237 h 1694997"/>
            <a:gd name="connsiteX26" fmla="*/ 1804736 w 2283142"/>
            <a:gd name="connsiteY26" fmla="*/ 837198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51711 h 1694997"/>
            <a:gd name="connsiteX36" fmla="*/ 1584158 w 2283142"/>
            <a:gd name="connsiteY36" fmla="*/ 586540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68855 w 2283142"/>
            <a:gd name="connsiteY41" fmla="*/ 501316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5555 w 2283142"/>
            <a:gd name="connsiteY13" fmla="*/ 988094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09750 w 2283142"/>
            <a:gd name="connsiteY25" fmla="*/ 852237 h 1694997"/>
            <a:gd name="connsiteX26" fmla="*/ 1804736 w 2283142"/>
            <a:gd name="connsiteY26" fmla="*/ 837198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51711 h 1694997"/>
            <a:gd name="connsiteX36" fmla="*/ 1584158 w 2283142"/>
            <a:gd name="connsiteY36" fmla="*/ 586540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68855 w 2283142"/>
            <a:gd name="connsiteY41" fmla="*/ 501316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5555 w 2283142"/>
            <a:gd name="connsiteY13" fmla="*/ 988094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12139 w 2283142"/>
            <a:gd name="connsiteY25" fmla="*/ 842712 h 1694997"/>
            <a:gd name="connsiteX26" fmla="*/ 1804736 w 2283142"/>
            <a:gd name="connsiteY26" fmla="*/ 837198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51711 h 1694997"/>
            <a:gd name="connsiteX36" fmla="*/ 1584158 w 2283142"/>
            <a:gd name="connsiteY36" fmla="*/ 586540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68855 w 2283142"/>
            <a:gd name="connsiteY41" fmla="*/ 501316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5555 w 2283142"/>
            <a:gd name="connsiteY13" fmla="*/ 988094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12139 w 2283142"/>
            <a:gd name="connsiteY25" fmla="*/ 842712 h 1694997"/>
            <a:gd name="connsiteX26" fmla="*/ 1804736 w 2283142"/>
            <a:gd name="connsiteY26" fmla="*/ 820529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51711 h 1694997"/>
            <a:gd name="connsiteX36" fmla="*/ 1584158 w 2283142"/>
            <a:gd name="connsiteY36" fmla="*/ 586540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68855 w 2283142"/>
            <a:gd name="connsiteY41" fmla="*/ 501316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5555 w 2283142"/>
            <a:gd name="connsiteY13" fmla="*/ 988094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12139 w 2283142"/>
            <a:gd name="connsiteY25" fmla="*/ 842712 h 1694997"/>
            <a:gd name="connsiteX26" fmla="*/ 1804736 w 2283142"/>
            <a:gd name="connsiteY26" fmla="*/ 820529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42186 h 1694997"/>
            <a:gd name="connsiteX36" fmla="*/ 1584158 w 2283142"/>
            <a:gd name="connsiteY36" fmla="*/ 586540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68855 w 2283142"/>
            <a:gd name="connsiteY41" fmla="*/ 501316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5555 w 2283142"/>
            <a:gd name="connsiteY13" fmla="*/ 988094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12139 w 2283142"/>
            <a:gd name="connsiteY25" fmla="*/ 842712 h 1694997"/>
            <a:gd name="connsiteX26" fmla="*/ 1804736 w 2283142"/>
            <a:gd name="connsiteY26" fmla="*/ 820529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42186 h 1694997"/>
            <a:gd name="connsiteX36" fmla="*/ 1593716 w 2283142"/>
            <a:gd name="connsiteY36" fmla="*/ 593684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68855 w 2283142"/>
            <a:gd name="connsiteY41" fmla="*/ 501316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5555 w 2283142"/>
            <a:gd name="connsiteY13" fmla="*/ 988094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12139 w 2283142"/>
            <a:gd name="connsiteY25" fmla="*/ 842712 h 1694997"/>
            <a:gd name="connsiteX26" fmla="*/ 1804736 w 2283142"/>
            <a:gd name="connsiteY26" fmla="*/ 820529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42186 h 1694997"/>
            <a:gd name="connsiteX36" fmla="*/ 1593716 w 2283142"/>
            <a:gd name="connsiteY36" fmla="*/ 593684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4000 w 2283142"/>
            <a:gd name="connsiteY39" fmla="*/ 541421 h 1694997"/>
            <a:gd name="connsiteX40" fmla="*/ 1498934 w 2283142"/>
            <a:gd name="connsiteY40" fmla="*/ 516356 h 1694997"/>
            <a:gd name="connsiteX41" fmla="*/ 1480803 w 2283142"/>
            <a:gd name="connsiteY41" fmla="*/ 496554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5555 w 2283142"/>
            <a:gd name="connsiteY13" fmla="*/ 988094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12139 w 2283142"/>
            <a:gd name="connsiteY25" fmla="*/ 842712 h 1694997"/>
            <a:gd name="connsiteX26" fmla="*/ 1804736 w 2283142"/>
            <a:gd name="connsiteY26" fmla="*/ 820529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42186 h 1694997"/>
            <a:gd name="connsiteX36" fmla="*/ 1593716 w 2283142"/>
            <a:gd name="connsiteY36" fmla="*/ 593684 h 1694997"/>
            <a:gd name="connsiteX37" fmla="*/ 1579144 w 2283142"/>
            <a:gd name="connsiteY37" fmla="*/ 571500 h 1694997"/>
            <a:gd name="connsiteX38" fmla="*/ 1554079 w 2283142"/>
            <a:gd name="connsiteY38" fmla="*/ 556461 h 1694997"/>
            <a:gd name="connsiteX39" fmla="*/ 1528779 w 2283142"/>
            <a:gd name="connsiteY39" fmla="*/ 534277 h 1694997"/>
            <a:gd name="connsiteX40" fmla="*/ 1498934 w 2283142"/>
            <a:gd name="connsiteY40" fmla="*/ 516356 h 1694997"/>
            <a:gd name="connsiteX41" fmla="*/ 1480803 w 2283142"/>
            <a:gd name="connsiteY41" fmla="*/ 496554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5555 w 2283142"/>
            <a:gd name="connsiteY13" fmla="*/ 988094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12139 w 2283142"/>
            <a:gd name="connsiteY25" fmla="*/ 842712 h 1694997"/>
            <a:gd name="connsiteX26" fmla="*/ 1804736 w 2283142"/>
            <a:gd name="connsiteY26" fmla="*/ 820529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42186 h 1694997"/>
            <a:gd name="connsiteX36" fmla="*/ 1593716 w 2283142"/>
            <a:gd name="connsiteY36" fmla="*/ 593684 h 1694997"/>
            <a:gd name="connsiteX37" fmla="*/ 1579144 w 2283142"/>
            <a:gd name="connsiteY37" fmla="*/ 571500 h 1694997"/>
            <a:gd name="connsiteX38" fmla="*/ 1566027 w 2283142"/>
            <a:gd name="connsiteY38" fmla="*/ 556461 h 1694997"/>
            <a:gd name="connsiteX39" fmla="*/ 1528779 w 2283142"/>
            <a:gd name="connsiteY39" fmla="*/ 534277 h 1694997"/>
            <a:gd name="connsiteX40" fmla="*/ 1498934 w 2283142"/>
            <a:gd name="connsiteY40" fmla="*/ 516356 h 1694997"/>
            <a:gd name="connsiteX41" fmla="*/ 1480803 w 2283142"/>
            <a:gd name="connsiteY41" fmla="*/ 496554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  <a:gd name="connsiteX0" fmla="*/ 2020302 w 2283142"/>
            <a:gd name="connsiteY0" fmla="*/ 1353553 h 1694997"/>
            <a:gd name="connsiteX1" fmla="*/ 2060408 w 2283142"/>
            <a:gd name="connsiteY1" fmla="*/ 1348540 h 1694997"/>
            <a:gd name="connsiteX2" fmla="*/ 2075447 w 2283142"/>
            <a:gd name="connsiteY2" fmla="*/ 1343527 h 1694997"/>
            <a:gd name="connsiteX3" fmla="*/ 2155658 w 2283142"/>
            <a:gd name="connsiteY3" fmla="*/ 1338513 h 1694997"/>
            <a:gd name="connsiteX4" fmla="*/ 2170697 w 2283142"/>
            <a:gd name="connsiteY4" fmla="*/ 1333500 h 1694997"/>
            <a:gd name="connsiteX5" fmla="*/ 2185736 w 2283142"/>
            <a:gd name="connsiteY5" fmla="*/ 1323474 h 1694997"/>
            <a:gd name="connsiteX6" fmla="*/ 2205789 w 2283142"/>
            <a:gd name="connsiteY6" fmla="*/ 1318461 h 1694997"/>
            <a:gd name="connsiteX7" fmla="*/ 2215815 w 2283142"/>
            <a:gd name="connsiteY7" fmla="*/ 1308434 h 1694997"/>
            <a:gd name="connsiteX8" fmla="*/ 2265947 w 2283142"/>
            <a:gd name="connsiteY8" fmla="*/ 1293395 h 1694997"/>
            <a:gd name="connsiteX9" fmla="*/ 2283142 w 2283142"/>
            <a:gd name="connsiteY9" fmla="*/ 1221330 h 1694997"/>
            <a:gd name="connsiteX10" fmla="*/ 2270960 w 2283142"/>
            <a:gd name="connsiteY10" fmla="*/ 1072816 h 1694997"/>
            <a:gd name="connsiteX11" fmla="*/ 2270259 w 2283142"/>
            <a:gd name="connsiteY11" fmla="*/ 1037974 h 1694997"/>
            <a:gd name="connsiteX12" fmla="*/ 2240881 w 2283142"/>
            <a:gd name="connsiteY12" fmla="*/ 1012658 h 1694997"/>
            <a:gd name="connsiteX13" fmla="*/ 2205555 w 2283142"/>
            <a:gd name="connsiteY13" fmla="*/ 988094 h 1694997"/>
            <a:gd name="connsiteX14" fmla="*/ 2030329 w 2283142"/>
            <a:gd name="connsiteY14" fmla="*/ 982579 h 1694997"/>
            <a:gd name="connsiteX15" fmla="*/ 1990223 w 2283142"/>
            <a:gd name="connsiteY15" fmla="*/ 977566 h 1694997"/>
            <a:gd name="connsiteX16" fmla="*/ 1960144 w 2283142"/>
            <a:gd name="connsiteY16" fmla="*/ 967540 h 1694997"/>
            <a:gd name="connsiteX17" fmla="*/ 1930065 w 2283142"/>
            <a:gd name="connsiteY17" fmla="*/ 957513 h 1694997"/>
            <a:gd name="connsiteX18" fmla="*/ 1915026 w 2283142"/>
            <a:gd name="connsiteY18" fmla="*/ 952500 h 1694997"/>
            <a:gd name="connsiteX19" fmla="*/ 1894973 w 2283142"/>
            <a:gd name="connsiteY19" fmla="*/ 947487 h 1694997"/>
            <a:gd name="connsiteX20" fmla="*/ 1879934 w 2283142"/>
            <a:gd name="connsiteY20" fmla="*/ 937461 h 1694997"/>
            <a:gd name="connsiteX21" fmla="*/ 1864894 w 2283142"/>
            <a:gd name="connsiteY21" fmla="*/ 932448 h 1694997"/>
            <a:gd name="connsiteX22" fmla="*/ 1859881 w 2283142"/>
            <a:gd name="connsiteY22" fmla="*/ 917408 h 1694997"/>
            <a:gd name="connsiteX23" fmla="*/ 1839829 w 2283142"/>
            <a:gd name="connsiteY23" fmla="*/ 892342 h 1694997"/>
            <a:gd name="connsiteX24" fmla="*/ 1824789 w 2283142"/>
            <a:gd name="connsiteY24" fmla="*/ 862263 h 1694997"/>
            <a:gd name="connsiteX25" fmla="*/ 1812139 w 2283142"/>
            <a:gd name="connsiteY25" fmla="*/ 842712 h 1694997"/>
            <a:gd name="connsiteX26" fmla="*/ 1804736 w 2283142"/>
            <a:gd name="connsiteY26" fmla="*/ 820529 h 1694997"/>
            <a:gd name="connsiteX27" fmla="*/ 1759618 w 2283142"/>
            <a:gd name="connsiteY27" fmla="*/ 787066 h 1694997"/>
            <a:gd name="connsiteX28" fmla="*/ 1724526 w 2283142"/>
            <a:gd name="connsiteY28" fmla="*/ 777040 h 1694997"/>
            <a:gd name="connsiteX29" fmla="*/ 1709486 w 2283142"/>
            <a:gd name="connsiteY29" fmla="*/ 772027 h 1694997"/>
            <a:gd name="connsiteX30" fmla="*/ 1689434 w 2283142"/>
            <a:gd name="connsiteY30" fmla="*/ 731921 h 1694997"/>
            <a:gd name="connsiteX31" fmla="*/ 1674394 w 2283142"/>
            <a:gd name="connsiteY31" fmla="*/ 726908 h 1694997"/>
            <a:gd name="connsiteX32" fmla="*/ 1664368 w 2283142"/>
            <a:gd name="connsiteY32" fmla="*/ 711869 h 1694997"/>
            <a:gd name="connsiteX33" fmla="*/ 1644315 w 2283142"/>
            <a:gd name="connsiteY33" fmla="*/ 691816 h 1694997"/>
            <a:gd name="connsiteX34" fmla="*/ 1614236 w 2283142"/>
            <a:gd name="connsiteY34" fmla="*/ 656724 h 1694997"/>
            <a:gd name="connsiteX35" fmla="*/ 1599197 w 2283142"/>
            <a:gd name="connsiteY35" fmla="*/ 642186 h 1694997"/>
            <a:gd name="connsiteX36" fmla="*/ 1603275 w 2283142"/>
            <a:gd name="connsiteY36" fmla="*/ 596066 h 1694997"/>
            <a:gd name="connsiteX37" fmla="*/ 1579144 w 2283142"/>
            <a:gd name="connsiteY37" fmla="*/ 571500 h 1694997"/>
            <a:gd name="connsiteX38" fmla="*/ 1566027 w 2283142"/>
            <a:gd name="connsiteY38" fmla="*/ 556461 h 1694997"/>
            <a:gd name="connsiteX39" fmla="*/ 1528779 w 2283142"/>
            <a:gd name="connsiteY39" fmla="*/ 534277 h 1694997"/>
            <a:gd name="connsiteX40" fmla="*/ 1498934 w 2283142"/>
            <a:gd name="connsiteY40" fmla="*/ 516356 h 1694997"/>
            <a:gd name="connsiteX41" fmla="*/ 1480803 w 2283142"/>
            <a:gd name="connsiteY41" fmla="*/ 496554 h 1694997"/>
            <a:gd name="connsiteX42" fmla="*/ 1453815 w 2283142"/>
            <a:gd name="connsiteY42" fmla="*/ 476250 h 1694997"/>
            <a:gd name="connsiteX43" fmla="*/ 1443789 w 2283142"/>
            <a:gd name="connsiteY43" fmla="*/ 461211 h 1694997"/>
            <a:gd name="connsiteX44" fmla="*/ 1423736 w 2283142"/>
            <a:gd name="connsiteY44" fmla="*/ 441158 h 1694997"/>
            <a:gd name="connsiteX45" fmla="*/ 1393658 w 2283142"/>
            <a:gd name="connsiteY45" fmla="*/ 431132 h 1694997"/>
            <a:gd name="connsiteX46" fmla="*/ 1373605 w 2283142"/>
            <a:gd name="connsiteY46" fmla="*/ 411079 h 1694997"/>
            <a:gd name="connsiteX47" fmla="*/ 1353552 w 2283142"/>
            <a:gd name="connsiteY47" fmla="*/ 386013 h 1694997"/>
            <a:gd name="connsiteX48" fmla="*/ 1323473 w 2283142"/>
            <a:gd name="connsiteY48" fmla="*/ 375987 h 1694997"/>
            <a:gd name="connsiteX49" fmla="*/ 1308434 w 2283142"/>
            <a:gd name="connsiteY49" fmla="*/ 370974 h 1694997"/>
            <a:gd name="connsiteX50" fmla="*/ 1303421 w 2283142"/>
            <a:gd name="connsiteY50" fmla="*/ 355934 h 1694997"/>
            <a:gd name="connsiteX51" fmla="*/ 1273342 w 2283142"/>
            <a:gd name="connsiteY51" fmla="*/ 345908 h 1694997"/>
            <a:gd name="connsiteX52" fmla="*/ 1224665 w 2283142"/>
            <a:gd name="connsiteY52" fmla="*/ 326357 h 1694997"/>
            <a:gd name="connsiteX53" fmla="*/ 1175469 w 2283142"/>
            <a:gd name="connsiteY53" fmla="*/ 311568 h 1694997"/>
            <a:gd name="connsiteX54" fmla="*/ 1141545 w 2283142"/>
            <a:gd name="connsiteY54" fmla="*/ 306304 h 1694997"/>
            <a:gd name="connsiteX55" fmla="*/ 1092817 w 2283142"/>
            <a:gd name="connsiteY55" fmla="*/ 315578 h 1694997"/>
            <a:gd name="connsiteX56" fmla="*/ 987592 w 2283142"/>
            <a:gd name="connsiteY56" fmla="*/ 305803 h 1694997"/>
            <a:gd name="connsiteX57" fmla="*/ 961591 w 2283142"/>
            <a:gd name="connsiteY57" fmla="*/ 293144 h 1694997"/>
            <a:gd name="connsiteX58" fmla="*/ 927434 w 2283142"/>
            <a:gd name="connsiteY58" fmla="*/ 285750 h 1694997"/>
            <a:gd name="connsiteX59" fmla="*/ 919564 w 2283142"/>
            <a:gd name="connsiteY59" fmla="*/ 280737 h 1694997"/>
            <a:gd name="connsiteX60" fmla="*/ 882315 w 2283142"/>
            <a:gd name="connsiteY60" fmla="*/ 245645 h 1694997"/>
            <a:gd name="connsiteX61" fmla="*/ 852236 w 2283142"/>
            <a:gd name="connsiteY61" fmla="*/ 235619 h 1694997"/>
            <a:gd name="connsiteX62" fmla="*/ 837197 w 2283142"/>
            <a:gd name="connsiteY62" fmla="*/ 225592 h 1694997"/>
            <a:gd name="connsiteX63" fmla="*/ 822158 w 2283142"/>
            <a:gd name="connsiteY63" fmla="*/ 220579 h 1694997"/>
            <a:gd name="connsiteX64" fmla="*/ 797092 w 2283142"/>
            <a:gd name="connsiteY64" fmla="*/ 205540 h 1694997"/>
            <a:gd name="connsiteX65" fmla="*/ 772026 w 2283142"/>
            <a:gd name="connsiteY65" fmla="*/ 185487 h 1694997"/>
            <a:gd name="connsiteX66" fmla="*/ 756986 w 2283142"/>
            <a:gd name="connsiteY66" fmla="*/ 180474 h 1694997"/>
            <a:gd name="connsiteX67" fmla="*/ 724284 w 2283142"/>
            <a:gd name="connsiteY67" fmla="*/ 155909 h 1694997"/>
            <a:gd name="connsiteX68" fmla="*/ 694205 w 2283142"/>
            <a:gd name="connsiteY68" fmla="*/ 143502 h 1694997"/>
            <a:gd name="connsiteX69" fmla="*/ 661268 w 2283142"/>
            <a:gd name="connsiteY69" fmla="*/ 110791 h 1694997"/>
            <a:gd name="connsiteX70" fmla="*/ 641450 w 2283142"/>
            <a:gd name="connsiteY70" fmla="*/ 101016 h 1694997"/>
            <a:gd name="connsiteX71" fmla="*/ 613995 w 2283142"/>
            <a:gd name="connsiteY71" fmla="*/ 90738 h 1694997"/>
            <a:gd name="connsiteX72" fmla="*/ 601345 w 2283142"/>
            <a:gd name="connsiteY72" fmla="*/ 85474 h 1694997"/>
            <a:gd name="connsiteX73" fmla="*/ 536408 w 2283142"/>
            <a:gd name="connsiteY73" fmla="*/ 65171 h 1694997"/>
            <a:gd name="connsiteX74" fmla="*/ 491289 w 2283142"/>
            <a:gd name="connsiteY74" fmla="*/ 50132 h 1694997"/>
            <a:gd name="connsiteX75" fmla="*/ 476250 w 2283142"/>
            <a:gd name="connsiteY75" fmla="*/ 45119 h 1694997"/>
            <a:gd name="connsiteX76" fmla="*/ 441158 w 2283142"/>
            <a:gd name="connsiteY76" fmla="*/ 30079 h 1694997"/>
            <a:gd name="connsiteX77" fmla="*/ 411079 w 2283142"/>
            <a:gd name="connsiteY77" fmla="*/ 20053 h 1694997"/>
            <a:gd name="connsiteX78" fmla="*/ 401052 w 2283142"/>
            <a:gd name="connsiteY78" fmla="*/ 10027 h 1694997"/>
            <a:gd name="connsiteX79" fmla="*/ 370973 w 2283142"/>
            <a:gd name="connsiteY79" fmla="*/ 0 h 1694997"/>
            <a:gd name="connsiteX80" fmla="*/ 320842 w 2283142"/>
            <a:gd name="connsiteY80" fmla="*/ 5013 h 1694997"/>
            <a:gd name="connsiteX81" fmla="*/ 310815 w 2283142"/>
            <a:gd name="connsiteY81" fmla="*/ 15040 h 1694997"/>
            <a:gd name="connsiteX82" fmla="*/ 275723 w 2283142"/>
            <a:gd name="connsiteY82" fmla="*/ 25066 h 1694997"/>
            <a:gd name="connsiteX83" fmla="*/ 190500 w 2283142"/>
            <a:gd name="connsiteY83" fmla="*/ 30079 h 1694997"/>
            <a:gd name="connsiteX84" fmla="*/ 150394 w 2283142"/>
            <a:gd name="connsiteY84" fmla="*/ 50132 h 1694997"/>
            <a:gd name="connsiteX85" fmla="*/ 145381 w 2283142"/>
            <a:gd name="connsiteY85" fmla="*/ 65171 h 1694997"/>
            <a:gd name="connsiteX86" fmla="*/ 205539 w 2283142"/>
            <a:gd name="connsiteY86" fmla="*/ 95250 h 1694997"/>
            <a:gd name="connsiteX87" fmla="*/ 220579 w 2283142"/>
            <a:gd name="connsiteY87" fmla="*/ 120316 h 1694997"/>
            <a:gd name="connsiteX88" fmla="*/ 230605 w 2283142"/>
            <a:gd name="connsiteY88" fmla="*/ 135356 h 1694997"/>
            <a:gd name="connsiteX89" fmla="*/ 245644 w 2283142"/>
            <a:gd name="connsiteY89" fmla="*/ 145382 h 1694997"/>
            <a:gd name="connsiteX90" fmla="*/ 265697 w 2283142"/>
            <a:gd name="connsiteY90" fmla="*/ 170448 h 1694997"/>
            <a:gd name="connsiteX91" fmla="*/ 280736 w 2283142"/>
            <a:gd name="connsiteY91" fmla="*/ 180474 h 1694997"/>
            <a:gd name="connsiteX92" fmla="*/ 275723 w 2283142"/>
            <a:gd name="connsiteY92" fmla="*/ 195513 h 1694997"/>
            <a:gd name="connsiteX93" fmla="*/ 250658 w 2283142"/>
            <a:gd name="connsiteY93" fmla="*/ 200527 h 1694997"/>
            <a:gd name="connsiteX94" fmla="*/ 240631 w 2283142"/>
            <a:gd name="connsiteY94" fmla="*/ 210553 h 1694997"/>
            <a:gd name="connsiteX95" fmla="*/ 235618 w 2283142"/>
            <a:gd name="connsiteY95" fmla="*/ 235619 h 1694997"/>
            <a:gd name="connsiteX96" fmla="*/ 220579 w 2283142"/>
            <a:gd name="connsiteY96" fmla="*/ 240632 h 1694997"/>
            <a:gd name="connsiteX97" fmla="*/ 150394 w 2283142"/>
            <a:gd name="connsiteY97" fmla="*/ 245645 h 1694997"/>
            <a:gd name="connsiteX98" fmla="*/ 135355 w 2283142"/>
            <a:gd name="connsiteY98" fmla="*/ 310816 h 1694997"/>
            <a:gd name="connsiteX99" fmla="*/ 90236 w 2283142"/>
            <a:gd name="connsiteY99" fmla="*/ 305803 h 1694997"/>
            <a:gd name="connsiteX100" fmla="*/ 50131 w 2283142"/>
            <a:gd name="connsiteY100" fmla="*/ 295777 h 1694997"/>
            <a:gd name="connsiteX101" fmla="*/ 10026 w 2283142"/>
            <a:gd name="connsiteY101" fmla="*/ 300790 h 1694997"/>
            <a:gd name="connsiteX102" fmla="*/ 5013 w 2283142"/>
            <a:gd name="connsiteY102" fmla="*/ 320842 h 1694997"/>
            <a:gd name="connsiteX103" fmla="*/ 0 w 2283142"/>
            <a:gd name="connsiteY103" fmla="*/ 335882 h 1694997"/>
            <a:gd name="connsiteX104" fmla="*/ 5013 w 2283142"/>
            <a:gd name="connsiteY104" fmla="*/ 436145 h 1694997"/>
            <a:gd name="connsiteX105" fmla="*/ 20052 w 2283142"/>
            <a:gd name="connsiteY105" fmla="*/ 441158 h 1694997"/>
            <a:gd name="connsiteX106" fmla="*/ 60158 w 2283142"/>
            <a:gd name="connsiteY106" fmla="*/ 471237 h 1694997"/>
            <a:gd name="connsiteX107" fmla="*/ 90236 w 2283142"/>
            <a:gd name="connsiteY107" fmla="*/ 481263 h 1694997"/>
            <a:gd name="connsiteX108" fmla="*/ 125329 w 2283142"/>
            <a:gd name="connsiteY108" fmla="*/ 496303 h 1694997"/>
            <a:gd name="connsiteX109" fmla="*/ 143226 w 2283142"/>
            <a:gd name="connsiteY109" fmla="*/ 516356 h 1694997"/>
            <a:gd name="connsiteX110" fmla="*/ 163277 w 2283142"/>
            <a:gd name="connsiteY110" fmla="*/ 541421 h 1694997"/>
            <a:gd name="connsiteX111" fmla="*/ 180942 w 2283142"/>
            <a:gd name="connsiteY111" fmla="*/ 563856 h 1694997"/>
            <a:gd name="connsiteX112" fmla="*/ 191435 w 2283142"/>
            <a:gd name="connsiteY112" fmla="*/ 578644 h 1694997"/>
            <a:gd name="connsiteX113" fmla="*/ 211721 w 2283142"/>
            <a:gd name="connsiteY113" fmla="*/ 596566 h 1694997"/>
            <a:gd name="connsiteX114" fmla="*/ 236554 w 2283142"/>
            <a:gd name="connsiteY114" fmla="*/ 633539 h 1694997"/>
            <a:gd name="connsiteX115" fmla="*/ 246345 w 2283142"/>
            <a:gd name="connsiteY115" fmla="*/ 639052 h 1694997"/>
            <a:gd name="connsiteX116" fmla="*/ 268788 w 2283142"/>
            <a:gd name="connsiteY116" fmla="*/ 671262 h 1694997"/>
            <a:gd name="connsiteX117" fmla="*/ 290763 w 2283142"/>
            <a:gd name="connsiteY117" fmla="*/ 691816 h 1694997"/>
            <a:gd name="connsiteX118" fmla="*/ 300789 w 2283142"/>
            <a:gd name="connsiteY118" fmla="*/ 706856 h 1694997"/>
            <a:gd name="connsiteX119" fmla="*/ 305802 w 2283142"/>
            <a:gd name="connsiteY119" fmla="*/ 721895 h 1694997"/>
            <a:gd name="connsiteX120" fmla="*/ 325855 w 2283142"/>
            <a:gd name="connsiteY120" fmla="*/ 741948 h 1694997"/>
            <a:gd name="connsiteX121" fmla="*/ 335881 w 2283142"/>
            <a:gd name="connsiteY121" fmla="*/ 772027 h 1694997"/>
            <a:gd name="connsiteX122" fmla="*/ 340894 w 2283142"/>
            <a:gd name="connsiteY122" fmla="*/ 787066 h 1694997"/>
            <a:gd name="connsiteX123" fmla="*/ 350921 w 2283142"/>
            <a:gd name="connsiteY123" fmla="*/ 802106 h 1694997"/>
            <a:gd name="connsiteX124" fmla="*/ 365960 w 2283142"/>
            <a:gd name="connsiteY124" fmla="*/ 832184 h 1694997"/>
            <a:gd name="connsiteX125" fmla="*/ 370973 w 2283142"/>
            <a:gd name="connsiteY125" fmla="*/ 847224 h 1694997"/>
            <a:gd name="connsiteX126" fmla="*/ 406065 w 2283142"/>
            <a:gd name="connsiteY126" fmla="*/ 877303 h 1694997"/>
            <a:gd name="connsiteX127" fmla="*/ 421105 w 2283142"/>
            <a:gd name="connsiteY127" fmla="*/ 882316 h 1694997"/>
            <a:gd name="connsiteX128" fmla="*/ 451184 w 2283142"/>
            <a:gd name="connsiteY128" fmla="*/ 897356 h 1694997"/>
            <a:gd name="connsiteX129" fmla="*/ 476250 w 2283142"/>
            <a:gd name="connsiteY129" fmla="*/ 912395 h 1694997"/>
            <a:gd name="connsiteX130" fmla="*/ 491289 w 2283142"/>
            <a:gd name="connsiteY130" fmla="*/ 917408 h 1694997"/>
            <a:gd name="connsiteX131" fmla="*/ 521368 w 2283142"/>
            <a:gd name="connsiteY131" fmla="*/ 932448 h 1694997"/>
            <a:gd name="connsiteX132" fmla="*/ 531394 w 2283142"/>
            <a:gd name="connsiteY132" fmla="*/ 947487 h 1694997"/>
            <a:gd name="connsiteX133" fmla="*/ 541421 w 2283142"/>
            <a:gd name="connsiteY133" fmla="*/ 957513 h 1694997"/>
            <a:gd name="connsiteX134" fmla="*/ 546434 w 2283142"/>
            <a:gd name="connsiteY134" fmla="*/ 972553 h 1694997"/>
            <a:gd name="connsiteX135" fmla="*/ 566486 w 2283142"/>
            <a:gd name="connsiteY135" fmla="*/ 1002632 h 1694997"/>
            <a:gd name="connsiteX136" fmla="*/ 571500 w 2283142"/>
            <a:gd name="connsiteY136" fmla="*/ 1022684 h 1694997"/>
            <a:gd name="connsiteX137" fmla="*/ 581526 w 2283142"/>
            <a:gd name="connsiteY137" fmla="*/ 1032711 h 1694997"/>
            <a:gd name="connsiteX138" fmla="*/ 591552 w 2283142"/>
            <a:gd name="connsiteY138" fmla="*/ 1062790 h 1694997"/>
            <a:gd name="connsiteX139" fmla="*/ 596565 w 2283142"/>
            <a:gd name="connsiteY139" fmla="*/ 1077829 h 1694997"/>
            <a:gd name="connsiteX140" fmla="*/ 601579 w 2283142"/>
            <a:gd name="connsiteY140" fmla="*/ 1132974 h 1694997"/>
            <a:gd name="connsiteX141" fmla="*/ 616618 w 2283142"/>
            <a:gd name="connsiteY141" fmla="*/ 1178092 h 1694997"/>
            <a:gd name="connsiteX142" fmla="*/ 631658 w 2283142"/>
            <a:gd name="connsiteY142" fmla="*/ 1208171 h 1694997"/>
            <a:gd name="connsiteX143" fmla="*/ 651710 w 2283142"/>
            <a:gd name="connsiteY143" fmla="*/ 1243263 h 1694997"/>
            <a:gd name="connsiteX144" fmla="*/ 661736 w 2283142"/>
            <a:gd name="connsiteY144" fmla="*/ 1253290 h 1694997"/>
            <a:gd name="connsiteX145" fmla="*/ 666750 w 2283142"/>
            <a:gd name="connsiteY145" fmla="*/ 1268329 h 1694997"/>
            <a:gd name="connsiteX146" fmla="*/ 696829 w 2283142"/>
            <a:gd name="connsiteY146" fmla="*/ 1288382 h 1694997"/>
            <a:gd name="connsiteX147" fmla="*/ 726908 w 2283142"/>
            <a:gd name="connsiteY147" fmla="*/ 1313448 h 1694997"/>
            <a:gd name="connsiteX148" fmla="*/ 736934 w 2283142"/>
            <a:gd name="connsiteY148" fmla="*/ 1328487 h 1694997"/>
            <a:gd name="connsiteX149" fmla="*/ 767013 w 2283142"/>
            <a:gd name="connsiteY149" fmla="*/ 1348540 h 1694997"/>
            <a:gd name="connsiteX150" fmla="*/ 782052 w 2283142"/>
            <a:gd name="connsiteY150" fmla="*/ 1358566 h 1694997"/>
            <a:gd name="connsiteX151" fmla="*/ 792079 w 2283142"/>
            <a:gd name="connsiteY151" fmla="*/ 1368592 h 1694997"/>
            <a:gd name="connsiteX152" fmla="*/ 817144 w 2283142"/>
            <a:gd name="connsiteY152" fmla="*/ 1373606 h 1694997"/>
            <a:gd name="connsiteX153" fmla="*/ 822158 w 2283142"/>
            <a:gd name="connsiteY153" fmla="*/ 1388645 h 1694997"/>
            <a:gd name="connsiteX154" fmla="*/ 837197 w 2283142"/>
            <a:gd name="connsiteY154" fmla="*/ 1398671 h 1694997"/>
            <a:gd name="connsiteX155" fmla="*/ 862263 w 2283142"/>
            <a:gd name="connsiteY155" fmla="*/ 1418724 h 1694997"/>
            <a:gd name="connsiteX156" fmla="*/ 872289 w 2283142"/>
            <a:gd name="connsiteY156" fmla="*/ 1438777 h 1694997"/>
            <a:gd name="connsiteX157" fmla="*/ 887329 w 2283142"/>
            <a:gd name="connsiteY157" fmla="*/ 1448803 h 1694997"/>
            <a:gd name="connsiteX158" fmla="*/ 897355 w 2283142"/>
            <a:gd name="connsiteY158" fmla="*/ 1463842 h 1694997"/>
            <a:gd name="connsiteX159" fmla="*/ 912394 w 2283142"/>
            <a:gd name="connsiteY159" fmla="*/ 1473869 h 1694997"/>
            <a:gd name="connsiteX160" fmla="*/ 922421 w 2283142"/>
            <a:gd name="connsiteY160" fmla="*/ 1483895 h 1694997"/>
            <a:gd name="connsiteX161" fmla="*/ 932447 w 2283142"/>
            <a:gd name="connsiteY161" fmla="*/ 1513974 h 1694997"/>
            <a:gd name="connsiteX162" fmla="*/ 947486 w 2283142"/>
            <a:gd name="connsiteY162" fmla="*/ 1524000 h 1694997"/>
            <a:gd name="connsiteX163" fmla="*/ 982579 w 2283142"/>
            <a:gd name="connsiteY163" fmla="*/ 1564106 h 1694997"/>
            <a:gd name="connsiteX164" fmla="*/ 1002631 w 2283142"/>
            <a:gd name="connsiteY164" fmla="*/ 1584158 h 1694997"/>
            <a:gd name="connsiteX165" fmla="*/ 1007644 w 2283142"/>
            <a:gd name="connsiteY165" fmla="*/ 1599198 h 1694997"/>
            <a:gd name="connsiteX166" fmla="*/ 1047750 w 2283142"/>
            <a:gd name="connsiteY166" fmla="*/ 1634290 h 1694997"/>
            <a:gd name="connsiteX167" fmla="*/ 1057776 w 2283142"/>
            <a:gd name="connsiteY167" fmla="*/ 1649329 h 1694997"/>
            <a:gd name="connsiteX168" fmla="*/ 1092868 w 2283142"/>
            <a:gd name="connsiteY168" fmla="*/ 1679408 h 1694997"/>
            <a:gd name="connsiteX169" fmla="*/ 1102894 w 2283142"/>
            <a:gd name="connsiteY169" fmla="*/ 1694448 h 1694997"/>
            <a:gd name="connsiteX170" fmla="*/ 1117934 w 2283142"/>
            <a:gd name="connsiteY170" fmla="*/ 1689434 h 1694997"/>
            <a:gd name="connsiteX171" fmla="*/ 1132973 w 2283142"/>
            <a:gd name="connsiteY171" fmla="*/ 1659356 h 1694997"/>
            <a:gd name="connsiteX172" fmla="*/ 1122947 w 2283142"/>
            <a:gd name="connsiteY172" fmla="*/ 1649329 h 1694997"/>
            <a:gd name="connsiteX173" fmla="*/ 1132973 w 2283142"/>
            <a:gd name="connsiteY173" fmla="*/ 1564106 h 1694997"/>
            <a:gd name="connsiteX174" fmla="*/ 1153026 w 2283142"/>
            <a:gd name="connsiteY174" fmla="*/ 1569119 h 1694997"/>
            <a:gd name="connsiteX175" fmla="*/ 1168065 w 2283142"/>
            <a:gd name="connsiteY175" fmla="*/ 1599198 h 1694997"/>
            <a:gd name="connsiteX176" fmla="*/ 1288381 w 2283142"/>
            <a:gd name="connsiteY176" fmla="*/ 1604211 h 1694997"/>
            <a:gd name="connsiteX177" fmla="*/ 1423736 w 2283142"/>
            <a:gd name="connsiteY177" fmla="*/ 1614237 h 1694997"/>
            <a:gd name="connsiteX178" fmla="*/ 1463842 w 2283142"/>
            <a:gd name="connsiteY178" fmla="*/ 1619250 h 1694997"/>
            <a:gd name="connsiteX179" fmla="*/ 1493921 w 2283142"/>
            <a:gd name="connsiteY179" fmla="*/ 1629277 h 1694997"/>
            <a:gd name="connsiteX180" fmla="*/ 1569118 w 2283142"/>
            <a:gd name="connsiteY180" fmla="*/ 1619250 h 1694997"/>
            <a:gd name="connsiteX181" fmla="*/ 1584158 w 2283142"/>
            <a:gd name="connsiteY181" fmla="*/ 1614237 h 1694997"/>
            <a:gd name="connsiteX182" fmla="*/ 1599197 w 2283142"/>
            <a:gd name="connsiteY182" fmla="*/ 1549066 h 1694997"/>
            <a:gd name="connsiteX183" fmla="*/ 1609223 w 2283142"/>
            <a:gd name="connsiteY183" fmla="*/ 1534027 h 1694997"/>
            <a:gd name="connsiteX184" fmla="*/ 1619250 w 2283142"/>
            <a:gd name="connsiteY184" fmla="*/ 1503948 h 1694997"/>
            <a:gd name="connsiteX185" fmla="*/ 1644315 w 2283142"/>
            <a:gd name="connsiteY185" fmla="*/ 1478882 h 1694997"/>
            <a:gd name="connsiteX186" fmla="*/ 1654342 w 2283142"/>
            <a:gd name="connsiteY186" fmla="*/ 1468856 h 1694997"/>
            <a:gd name="connsiteX187" fmla="*/ 1674394 w 2283142"/>
            <a:gd name="connsiteY187" fmla="*/ 1463842 h 1694997"/>
            <a:gd name="connsiteX188" fmla="*/ 1744579 w 2283142"/>
            <a:gd name="connsiteY188" fmla="*/ 1448803 h 1694997"/>
            <a:gd name="connsiteX189" fmla="*/ 1759618 w 2283142"/>
            <a:gd name="connsiteY189" fmla="*/ 1443790 h 1694997"/>
            <a:gd name="connsiteX190" fmla="*/ 1834815 w 2283142"/>
            <a:gd name="connsiteY190" fmla="*/ 1428750 h 1694997"/>
            <a:gd name="connsiteX191" fmla="*/ 1844842 w 2283142"/>
            <a:gd name="connsiteY191" fmla="*/ 1418724 h 1694997"/>
            <a:gd name="connsiteX192" fmla="*/ 1859881 w 2283142"/>
            <a:gd name="connsiteY192" fmla="*/ 1413711 h 1694997"/>
            <a:gd name="connsiteX193" fmla="*/ 1930065 w 2283142"/>
            <a:gd name="connsiteY193" fmla="*/ 1408698 h 1694997"/>
            <a:gd name="connsiteX194" fmla="*/ 1945105 w 2283142"/>
            <a:gd name="connsiteY194" fmla="*/ 1403684 h 1694997"/>
            <a:gd name="connsiteX195" fmla="*/ 2020302 w 2283142"/>
            <a:gd name="connsiteY195" fmla="*/ 1353553 h 169499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  <a:cxn ang="0">
              <a:pos x="connsiteX179" y="connsiteY179"/>
            </a:cxn>
            <a:cxn ang="0">
              <a:pos x="connsiteX180" y="connsiteY180"/>
            </a:cxn>
            <a:cxn ang="0">
              <a:pos x="connsiteX181" y="connsiteY181"/>
            </a:cxn>
            <a:cxn ang="0">
              <a:pos x="connsiteX182" y="connsiteY182"/>
            </a:cxn>
            <a:cxn ang="0">
              <a:pos x="connsiteX183" y="connsiteY183"/>
            </a:cxn>
            <a:cxn ang="0">
              <a:pos x="connsiteX184" y="connsiteY184"/>
            </a:cxn>
            <a:cxn ang="0">
              <a:pos x="connsiteX185" y="connsiteY185"/>
            </a:cxn>
            <a:cxn ang="0">
              <a:pos x="connsiteX186" y="connsiteY186"/>
            </a:cxn>
            <a:cxn ang="0">
              <a:pos x="connsiteX187" y="connsiteY187"/>
            </a:cxn>
            <a:cxn ang="0">
              <a:pos x="connsiteX188" y="connsiteY188"/>
            </a:cxn>
            <a:cxn ang="0">
              <a:pos x="connsiteX189" y="connsiteY189"/>
            </a:cxn>
            <a:cxn ang="0">
              <a:pos x="connsiteX190" y="connsiteY190"/>
            </a:cxn>
            <a:cxn ang="0">
              <a:pos x="connsiteX191" y="connsiteY191"/>
            </a:cxn>
            <a:cxn ang="0">
              <a:pos x="connsiteX192" y="connsiteY192"/>
            </a:cxn>
            <a:cxn ang="0">
              <a:pos x="connsiteX193" y="connsiteY193"/>
            </a:cxn>
            <a:cxn ang="0">
              <a:pos x="connsiteX194" y="connsiteY194"/>
            </a:cxn>
            <a:cxn ang="0">
              <a:pos x="connsiteX195" y="connsiteY195"/>
            </a:cxn>
          </a:cxnLst>
          <a:rect l="l" t="t" r="r" b="b"/>
          <a:pathLst>
            <a:path w="2283142" h="1694997">
              <a:moveTo>
                <a:pt x="2020302" y="1353553"/>
              </a:moveTo>
              <a:cubicBezTo>
                <a:pt x="2039519" y="1344362"/>
                <a:pt x="2047153" y="1350950"/>
                <a:pt x="2060408" y="1348540"/>
              </a:cubicBezTo>
              <a:cubicBezTo>
                <a:pt x="2065607" y="1347595"/>
                <a:pt x="2070192" y="1344080"/>
                <a:pt x="2075447" y="1343527"/>
              </a:cubicBezTo>
              <a:cubicBezTo>
                <a:pt x="2102089" y="1340722"/>
                <a:pt x="2128921" y="1340184"/>
                <a:pt x="2155658" y="1338513"/>
              </a:cubicBezTo>
              <a:cubicBezTo>
                <a:pt x="2160671" y="1336842"/>
                <a:pt x="2165971" y="1335863"/>
                <a:pt x="2170697" y="1333500"/>
              </a:cubicBezTo>
              <a:cubicBezTo>
                <a:pt x="2176086" y="1330806"/>
                <a:pt x="2180198" y="1325847"/>
                <a:pt x="2185736" y="1323474"/>
              </a:cubicBezTo>
              <a:cubicBezTo>
                <a:pt x="2192069" y="1320760"/>
                <a:pt x="2199105" y="1320132"/>
                <a:pt x="2205789" y="1318461"/>
              </a:cubicBezTo>
              <a:cubicBezTo>
                <a:pt x="2209131" y="1315119"/>
                <a:pt x="2211587" y="1310548"/>
                <a:pt x="2215815" y="1308434"/>
              </a:cubicBezTo>
              <a:cubicBezTo>
                <a:pt x="2228019" y="1302332"/>
                <a:pt x="2251555" y="1296993"/>
                <a:pt x="2265947" y="1293395"/>
              </a:cubicBezTo>
              <a:cubicBezTo>
                <a:pt x="2273791" y="1269863"/>
                <a:pt x="2283142" y="1254911"/>
                <a:pt x="2283142" y="1221330"/>
              </a:cubicBezTo>
              <a:cubicBezTo>
                <a:pt x="2283142" y="1167830"/>
                <a:pt x="2273107" y="1103375"/>
                <a:pt x="2270960" y="1072816"/>
              </a:cubicBezTo>
              <a:cubicBezTo>
                <a:pt x="2268813" y="1042257"/>
                <a:pt x="2276254" y="1049965"/>
                <a:pt x="2270259" y="1037974"/>
              </a:cubicBezTo>
              <a:cubicBezTo>
                <a:pt x="2262104" y="1021664"/>
                <a:pt x="2251665" y="1020971"/>
                <a:pt x="2240881" y="1012658"/>
              </a:cubicBezTo>
              <a:cubicBezTo>
                <a:pt x="2230097" y="1004345"/>
                <a:pt x="2232423" y="985619"/>
                <a:pt x="2205555" y="988094"/>
              </a:cubicBezTo>
              <a:cubicBezTo>
                <a:pt x="2127043" y="995325"/>
                <a:pt x="2265662" y="990983"/>
                <a:pt x="2030329" y="982579"/>
              </a:cubicBezTo>
              <a:cubicBezTo>
                <a:pt x="2016960" y="980908"/>
                <a:pt x="2003397" y="980389"/>
                <a:pt x="1990223" y="977566"/>
              </a:cubicBezTo>
              <a:cubicBezTo>
                <a:pt x="1979889" y="975352"/>
                <a:pt x="1970170" y="970882"/>
                <a:pt x="1960144" y="967540"/>
              </a:cubicBezTo>
              <a:lnTo>
                <a:pt x="1930065" y="957513"/>
              </a:lnTo>
              <a:cubicBezTo>
                <a:pt x="1925052" y="955842"/>
                <a:pt x="1920152" y="953782"/>
                <a:pt x="1915026" y="952500"/>
              </a:cubicBezTo>
              <a:lnTo>
                <a:pt x="1894973" y="947487"/>
              </a:lnTo>
              <a:cubicBezTo>
                <a:pt x="1889960" y="944145"/>
                <a:pt x="1885323" y="940155"/>
                <a:pt x="1879934" y="937461"/>
              </a:cubicBezTo>
              <a:cubicBezTo>
                <a:pt x="1875207" y="935098"/>
                <a:pt x="1868631" y="936185"/>
                <a:pt x="1864894" y="932448"/>
              </a:cubicBezTo>
              <a:cubicBezTo>
                <a:pt x="1861157" y="928711"/>
                <a:pt x="1862244" y="922135"/>
                <a:pt x="1859881" y="917408"/>
              </a:cubicBezTo>
              <a:cubicBezTo>
                <a:pt x="1853558" y="904762"/>
                <a:pt x="1849153" y="901667"/>
                <a:pt x="1839829" y="892342"/>
              </a:cubicBezTo>
              <a:cubicBezTo>
                <a:pt x="1835752" y="880112"/>
                <a:pt x="1829404" y="870535"/>
                <a:pt x="1824789" y="862263"/>
              </a:cubicBezTo>
              <a:cubicBezTo>
                <a:pt x="1820174" y="853991"/>
                <a:pt x="1817152" y="846054"/>
                <a:pt x="1812139" y="842712"/>
              </a:cubicBezTo>
              <a:cubicBezTo>
                <a:pt x="1810468" y="837699"/>
                <a:pt x="1813490" y="829803"/>
                <a:pt x="1804736" y="820529"/>
              </a:cubicBezTo>
              <a:cubicBezTo>
                <a:pt x="1795983" y="811255"/>
                <a:pt x="1772986" y="794314"/>
                <a:pt x="1759618" y="787066"/>
              </a:cubicBezTo>
              <a:cubicBezTo>
                <a:pt x="1746250" y="779818"/>
                <a:pt x="1732023" y="779182"/>
                <a:pt x="1724526" y="777040"/>
              </a:cubicBezTo>
              <a:cubicBezTo>
                <a:pt x="1719445" y="775588"/>
                <a:pt x="1714499" y="773698"/>
                <a:pt x="1709486" y="772027"/>
              </a:cubicBezTo>
              <a:cubicBezTo>
                <a:pt x="1704488" y="757032"/>
                <a:pt x="1704016" y="740670"/>
                <a:pt x="1689434" y="731921"/>
              </a:cubicBezTo>
              <a:cubicBezTo>
                <a:pt x="1684903" y="729202"/>
                <a:pt x="1679407" y="728579"/>
                <a:pt x="1674394" y="726908"/>
              </a:cubicBezTo>
              <a:cubicBezTo>
                <a:pt x="1671052" y="721895"/>
                <a:pt x="1668289" y="716443"/>
                <a:pt x="1664368" y="711869"/>
              </a:cubicBezTo>
              <a:cubicBezTo>
                <a:pt x="1658216" y="704692"/>
                <a:pt x="1649559" y="699681"/>
                <a:pt x="1644315" y="691816"/>
              </a:cubicBezTo>
              <a:cubicBezTo>
                <a:pt x="1637900" y="682194"/>
                <a:pt x="1624656" y="660197"/>
                <a:pt x="1614236" y="656724"/>
              </a:cubicBezTo>
              <a:lnTo>
                <a:pt x="1599197" y="642186"/>
              </a:lnTo>
              <a:cubicBezTo>
                <a:pt x="1579611" y="583427"/>
                <a:pt x="1606617" y="607847"/>
                <a:pt x="1603275" y="596066"/>
              </a:cubicBezTo>
              <a:cubicBezTo>
                <a:pt x="1599933" y="584285"/>
                <a:pt x="1585352" y="578101"/>
                <a:pt x="1579144" y="571500"/>
              </a:cubicBezTo>
              <a:cubicBezTo>
                <a:pt x="1572936" y="564899"/>
                <a:pt x="1574421" y="562665"/>
                <a:pt x="1566027" y="556461"/>
              </a:cubicBezTo>
              <a:cubicBezTo>
                <a:pt x="1557633" y="550257"/>
                <a:pt x="1551970" y="542007"/>
                <a:pt x="1528779" y="534277"/>
              </a:cubicBezTo>
              <a:cubicBezTo>
                <a:pt x="1520424" y="525922"/>
                <a:pt x="1506930" y="522643"/>
                <a:pt x="1498934" y="516356"/>
              </a:cubicBezTo>
              <a:cubicBezTo>
                <a:pt x="1490938" y="510069"/>
                <a:pt x="1500239" y="509511"/>
                <a:pt x="1480803" y="496554"/>
              </a:cubicBezTo>
              <a:cubicBezTo>
                <a:pt x="1472097" y="470437"/>
                <a:pt x="1459984" y="482140"/>
                <a:pt x="1453815" y="476250"/>
              </a:cubicBezTo>
              <a:cubicBezTo>
                <a:pt x="1447646" y="470360"/>
                <a:pt x="1447710" y="465785"/>
                <a:pt x="1443789" y="461211"/>
              </a:cubicBezTo>
              <a:cubicBezTo>
                <a:pt x="1437637" y="454034"/>
                <a:pt x="1432704" y="444147"/>
                <a:pt x="1423736" y="441158"/>
              </a:cubicBezTo>
              <a:lnTo>
                <a:pt x="1393658" y="431132"/>
              </a:lnTo>
              <a:cubicBezTo>
                <a:pt x="1386974" y="424448"/>
                <a:pt x="1378849" y="418944"/>
                <a:pt x="1373605" y="411079"/>
              </a:cubicBezTo>
              <a:cubicBezTo>
                <a:pt x="1370063" y="405765"/>
                <a:pt x="1360696" y="389585"/>
                <a:pt x="1353552" y="386013"/>
              </a:cubicBezTo>
              <a:cubicBezTo>
                <a:pt x="1344099" y="381287"/>
                <a:pt x="1333499" y="379329"/>
                <a:pt x="1323473" y="375987"/>
              </a:cubicBezTo>
              <a:lnTo>
                <a:pt x="1308434" y="370974"/>
              </a:lnTo>
              <a:cubicBezTo>
                <a:pt x="1306763" y="365961"/>
                <a:pt x="1307721" y="359006"/>
                <a:pt x="1303421" y="355934"/>
              </a:cubicBezTo>
              <a:cubicBezTo>
                <a:pt x="1294821" y="349791"/>
                <a:pt x="1286468" y="350838"/>
                <a:pt x="1273342" y="345908"/>
              </a:cubicBezTo>
              <a:cubicBezTo>
                <a:pt x="1260216" y="340978"/>
                <a:pt x="1240977" y="332080"/>
                <a:pt x="1224665" y="326357"/>
              </a:cubicBezTo>
              <a:cubicBezTo>
                <a:pt x="1208353" y="320634"/>
                <a:pt x="1189322" y="314910"/>
                <a:pt x="1175469" y="311568"/>
              </a:cubicBezTo>
              <a:cubicBezTo>
                <a:pt x="1161616" y="308226"/>
                <a:pt x="1155320" y="305636"/>
                <a:pt x="1141545" y="306304"/>
              </a:cubicBezTo>
              <a:cubicBezTo>
                <a:pt x="1127770" y="306972"/>
                <a:pt x="1118476" y="315662"/>
                <a:pt x="1092817" y="315578"/>
              </a:cubicBezTo>
              <a:cubicBezTo>
                <a:pt x="1067158" y="315495"/>
                <a:pt x="1039395" y="307474"/>
                <a:pt x="987592" y="305803"/>
              </a:cubicBezTo>
              <a:lnTo>
                <a:pt x="961591" y="293144"/>
              </a:lnTo>
              <a:lnTo>
                <a:pt x="927434" y="285750"/>
              </a:lnTo>
              <a:lnTo>
                <a:pt x="919564" y="280737"/>
              </a:lnTo>
              <a:cubicBezTo>
                <a:pt x="913149" y="271115"/>
                <a:pt x="892735" y="249118"/>
                <a:pt x="882315" y="245645"/>
              </a:cubicBezTo>
              <a:lnTo>
                <a:pt x="852236" y="235619"/>
              </a:lnTo>
              <a:cubicBezTo>
                <a:pt x="847223" y="232277"/>
                <a:pt x="842586" y="228287"/>
                <a:pt x="837197" y="225592"/>
              </a:cubicBezTo>
              <a:cubicBezTo>
                <a:pt x="832471" y="223229"/>
                <a:pt x="826689" y="223298"/>
                <a:pt x="822158" y="220579"/>
              </a:cubicBezTo>
              <a:cubicBezTo>
                <a:pt x="787751" y="199936"/>
                <a:pt x="839694" y="219741"/>
                <a:pt x="797092" y="205540"/>
              </a:cubicBezTo>
              <a:cubicBezTo>
                <a:pt x="787767" y="196215"/>
                <a:pt x="784674" y="191811"/>
                <a:pt x="772026" y="185487"/>
              </a:cubicBezTo>
              <a:cubicBezTo>
                <a:pt x="767299" y="183124"/>
                <a:pt x="761999" y="182145"/>
                <a:pt x="756986" y="180474"/>
              </a:cubicBezTo>
              <a:cubicBezTo>
                <a:pt x="733128" y="164569"/>
                <a:pt x="734748" y="162071"/>
                <a:pt x="724284" y="155909"/>
              </a:cubicBezTo>
              <a:cubicBezTo>
                <a:pt x="713820" y="149747"/>
                <a:pt x="704708" y="151022"/>
                <a:pt x="694205" y="143502"/>
              </a:cubicBezTo>
              <a:cubicBezTo>
                <a:pt x="683702" y="135982"/>
                <a:pt x="670061" y="117872"/>
                <a:pt x="661268" y="110791"/>
              </a:cubicBezTo>
              <a:cubicBezTo>
                <a:pt x="652476" y="103710"/>
                <a:pt x="646463" y="102687"/>
                <a:pt x="641450" y="101016"/>
              </a:cubicBezTo>
              <a:cubicBezTo>
                <a:pt x="621866" y="81434"/>
                <a:pt x="620679" y="93328"/>
                <a:pt x="613995" y="90738"/>
              </a:cubicBezTo>
              <a:cubicBezTo>
                <a:pt x="607311" y="88148"/>
                <a:pt x="614276" y="89735"/>
                <a:pt x="601345" y="85474"/>
              </a:cubicBezTo>
              <a:cubicBezTo>
                <a:pt x="588414" y="81213"/>
                <a:pt x="567799" y="75635"/>
                <a:pt x="536408" y="65171"/>
              </a:cubicBezTo>
              <a:lnTo>
                <a:pt x="491289" y="50132"/>
              </a:lnTo>
              <a:lnTo>
                <a:pt x="476250" y="45119"/>
              </a:lnTo>
              <a:cubicBezTo>
                <a:pt x="452390" y="29212"/>
                <a:pt x="470586" y="38907"/>
                <a:pt x="441158" y="30079"/>
              </a:cubicBezTo>
              <a:cubicBezTo>
                <a:pt x="431035" y="27042"/>
                <a:pt x="411079" y="20053"/>
                <a:pt x="411079" y="20053"/>
              </a:cubicBezTo>
              <a:cubicBezTo>
                <a:pt x="407737" y="16711"/>
                <a:pt x="405280" y="12141"/>
                <a:pt x="401052" y="10027"/>
              </a:cubicBezTo>
              <a:cubicBezTo>
                <a:pt x="391599" y="5301"/>
                <a:pt x="370973" y="0"/>
                <a:pt x="370973" y="0"/>
              </a:cubicBezTo>
              <a:cubicBezTo>
                <a:pt x="354263" y="1671"/>
                <a:pt x="337134" y="940"/>
                <a:pt x="320842" y="5013"/>
              </a:cubicBezTo>
              <a:cubicBezTo>
                <a:pt x="316256" y="6159"/>
                <a:pt x="314868" y="12608"/>
                <a:pt x="310815" y="15040"/>
              </a:cubicBezTo>
              <a:cubicBezTo>
                <a:pt x="306558" y="17594"/>
                <a:pt x="278320" y="24819"/>
                <a:pt x="275723" y="25066"/>
              </a:cubicBezTo>
              <a:cubicBezTo>
                <a:pt x="247394" y="27764"/>
                <a:pt x="218908" y="28408"/>
                <a:pt x="190500" y="30079"/>
              </a:cubicBezTo>
              <a:cubicBezTo>
                <a:pt x="155937" y="41601"/>
                <a:pt x="167895" y="32633"/>
                <a:pt x="150394" y="50132"/>
              </a:cubicBezTo>
              <a:cubicBezTo>
                <a:pt x="148723" y="55145"/>
                <a:pt x="145381" y="59887"/>
                <a:pt x="145381" y="65171"/>
              </a:cubicBezTo>
              <a:cubicBezTo>
                <a:pt x="145381" y="107551"/>
                <a:pt x="160608" y="91166"/>
                <a:pt x="205539" y="95250"/>
              </a:cubicBezTo>
              <a:cubicBezTo>
                <a:pt x="214245" y="121371"/>
                <a:pt x="204848" y="100653"/>
                <a:pt x="220579" y="120316"/>
              </a:cubicBezTo>
              <a:cubicBezTo>
                <a:pt x="224343" y="125021"/>
                <a:pt x="226345" y="131095"/>
                <a:pt x="230605" y="135356"/>
              </a:cubicBezTo>
              <a:cubicBezTo>
                <a:pt x="234865" y="139616"/>
                <a:pt x="240939" y="141618"/>
                <a:pt x="245644" y="145382"/>
              </a:cubicBezTo>
              <a:cubicBezTo>
                <a:pt x="270452" y="165228"/>
                <a:pt x="239638" y="144388"/>
                <a:pt x="265697" y="170448"/>
              </a:cubicBezTo>
              <a:cubicBezTo>
                <a:pt x="269957" y="174708"/>
                <a:pt x="275723" y="177132"/>
                <a:pt x="280736" y="180474"/>
              </a:cubicBezTo>
              <a:cubicBezTo>
                <a:pt x="279065" y="185487"/>
                <a:pt x="280120" y="192582"/>
                <a:pt x="275723" y="195513"/>
              </a:cubicBezTo>
              <a:cubicBezTo>
                <a:pt x="268634" y="200240"/>
                <a:pt x="258490" y="197170"/>
                <a:pt x="250658" y="200527"/>
              </a:cubicBezTo>
              <a:cubicBezTo>
                <a:pt x="246314" y="202389"/>
                <a:pt x="243973" y="207211"/>
                <a:pt x="240631" y="210553"/>
              </a:cubicBezTo>
              <a:cubicBezTo>
                <a:pt x="238960" y="218908"/>
                <a:pt x="240344" y="228529"/>
                <a:pt x="235618" y="235619"/>
              </a:cubicBezTo>
              <a:cubicBezTo>
                <a:pt x="232687" y="240016"/>
                <a:pt x="225827" y="240015"/>
                <a:pt x="220579" y="240632"/>
              </a:cubicBezTo>
              <a:cubicBezTo>
                <a:pt x="197285" y="243372"/>
                <a:pt x="173789" y="243974"/>
                <a:pt x="150394" y="245645"/>
              </a:cubicBezTo>
              <a:cubicBezTo>
                <a:pt x="136632" y="286934"/>
                <a:pt x="141863" y="265262"/>
                <a:pt x="135355" y="310816"/>
              </a:cubicBezTo>
              <a:cubicBezTo>
                <a:pt x="120315" y="309145"/>
                <a:pt x="105138" y="308433"/>
                <a:pt x="90236" y="305803"/>
              </a:cubicBezTo>
              <a:cubicBezTo>
                <a:pt x="76666" y="303408"/>
                <a:pt x="50131" y="295777"/>
                <a:pt x="50131" y="295777"/>
              </a:cubicBezTo>
              <a:cubicBezTo>
                <a:pt x="36763" y="297448"/>
                <a:pt x="21803" y="294247"/>
                <a:pt x="10026" y="300790"/>
              </a:cubicBezTo>
              <a:cubicBezTo>
                <a:pt x="4003" y="304136"/>
                <a:pt x="6906" y="314217"/>
                <a:pt x="5013" y="320842"/>
              </a:cubicBezTo>
              <a:cubicBezTo>
                <a:pt x="3561" y="325923"/>
                <a:pt x="1671" y="330869"/>
                <a:pt x="0" y="335882"/>
              </a:cubicBezTo>
              <a:cubicBezTo>
                <a:pt x="1671" y="369303"/>
                <a:pt x="-1248" y="403273"/>
                <a:pt x="5013" y="436145"/>
              </a:cubicBezTo>
              <a:cubicBezTo>
                <a:pt x="6002" y="441336"/>
                <a:pt x="15521" y="438439"/>
                <a:pt x="20052" y="441158"/>
              </a:cubicBezTo>
              <a:cubicBezTo>
                <a:pt x="49742" y="458971"/>
                <a:pt x="-2259" y="450431"/>
                <a:pt x="60158" y="471237"/>
              </a:cubicBezTo>
              <a:lnTo>
                <a:pt x="90236" y="481263"/>
              </a:lnTo>
              <a:cubicBezTo>
                <a:pt x="110901" y="501928"/>
                <a:pt x="116497" y="490454"/>
                <a:pt x="125329" y="496303"/>
              </a:cubicBezTo>
              <a:cubicBezTo>
                <a:pt x="134161" y="502152"/>
                <a:pt x="135885" y="509014"/>
                <a:pt x="143226" y="516356"/>
              </a:cubicBezTo>
              <a:cubicBezTo>
                <a:pt x="151661" y="541657"/>
                <a:pt x="156991" y="533504"/>
                <a:pt x="163277" y="541421"/>
              </a:cubicBezTo>
              <a:cubicBezTo>
                <a:pt x="169563" y="549338"/>
                <a:pt x="176249" y="557652"/>
                <a:pt x="180942" y="563856"/>
              </a:cubicBezTo>
              <a:cubicBezTo>
                <a:pt x="185635" y="570060"/>
                <a:pt x="186305" y="573192"/>
                <a:pt x="191435" y="578644"/>
              </a:cubicBezTo>
              <a:cubicBezTo>
                <a:pt x="196565" y="584096"/>
                <a:pt x="204201" y="587417"/>
                <a:pt x="211721" y="596566"/>
              </a:cubicBezTo>
              <a:cubicBezTo>
                <a:pt x="219241" y="605715"/>
                <a:pt x="222266" y="619253"/>
                <a:pt x="236554" y="633539"/>
              </a:cubicBezTo>
              <a:cubicBezTo>
                <a:pt x="238225" y="638552"/>
                <a:pt x="240973" y="632765"/>
                <a:pt x="246345" y="639052"/>
              </a:cubicBezTo>
              <a:cubicBezTo>
                <a:pt x="251717" y="645339"/>
                <a:pt x="261385" y="662468"/>
                <a:pt x="268788" y="671262"/>
              </a:cubicBezTo>
              <a:cubicBezTo>
                <a:pt x="276191" y="680056"/>
                <a:pt x="285430" y="685884"/>
                <a:pt x="290763" y="691816"/>
              </a:cubicBezTo>
              <a:cubicBezTo>
                <a:pt x="296096" y="697748"/>
                <a:pt x="298095" y="701467"/>
                <a:pt x="300789" y="706856"/>
              </a:cubicBezTo>
              <a:cubicBezTo>
                <a:pt x="303152" y="711582"/>
                <a:pt x="302731" y="717595"/>
                <a:pt x="305802" y="721895"/>
              </a:cubicBezTo>
              <a:cubicBezTo>
                <a:pt x="311297" y="729587"/>
                <a:pt x="325855" y="741948"/>
                <a:pt x="325855" y="741948"/>
              </a:cubicBezTo>
              <a:lnTo>
                <a:pt x="335881" y="772027"/>
              </a:lnTo>
              <a:cubicBezTo>
                <a:pt x="337552" y="777040"/>
                <a:pt x="337963" y="782669"/>
                <a:pt x="340894" y="787066"/>
              </a:cubicBezTo>
              <a:lnTo>
                <a:pt x="350921" y="802106"/>
              </a:lnTo>
              <a:cubicBezTo>
                <a:pt x="363522" y="839910"/>
                <a:pt x="346523" y="793309"/>
                <a:pt x="365960" y="832184"/>
              </a:cubicBezTo>
              <a:cubicBezTo>
                <a:pt x="368323" y="836911"/>
                <a:pt x="367901" y="842924"/>
                <a:pt x="370973" y="847224"/>
              </a:cubicBezTo>
              <a:cubicBezTo>
                <a:pt x="377825" y="856817"/>
                <a:pt x="394290" y="871415"/>
                <a:pt x="406065" y="877303"/>
              </a:cubicBezTo>
              <a:cubicBezTo>
                <a:pt x="410792" y="879666"/>
                <a:pt x="416092" y="880645"/>
                <a:pt x="421105" y="882316"/>
              </a:cubicBezTo>
              <a:cubicBezTo>
                <a:pt x="464198" y="911045"/>
                <a:pt x="409678" y="876603"/>
                <a:pt x="451184" y="897356"/>
              </a:cubicBezTo>
              <a:cubicBezTo>
                <a:pt x="459899" y="901714"/>
                <a:pt x="467535" y="908038"/>
                <a:pt x="476250" y="912395"/>
              </a:cubicBezTo>
              <a:cubicBezTo>
                <a:pt x="480976" y="914758"/>
                <a:pt x="486563" y="915045"/>
                <a:pt x="491289" y="917408"/>
              </a:cubicBezTo>
              <a:cubicBezTo>
                <a:pt x="530169" y="936847"/>
                <a:pt x="483561" y="919843"/>
                <a:pt x="521368" y="932448"/>
              </a:cubicBezTo>
              <a:cubicBezTo>
                <a:pt x="524710" y="937461"/>
                <a:pt x="527630" y="942782"/>
                <a:pt x="531394" y="947487"/>
              </a:cubicBezTo>
              <a:cubicBezTo>
                <a:pt x="534347" y="951178"/>
                <a:pt x="538989" y="953460"/>
                <a:pt x="541421" y="957513"/>
              </a:cubicBezTo>
              <a:cubicBezTo>
                <a:pt x="544140" y="962044"/>
                <a:pt x="543868" y="967933"/>
                <a:pt x="546434" y="972553"/>
              </a:cubicBezTo>
              <a:cubicBezTo>
                <a:pt x="552286" y="983087"/>
                <a:pt x="566486" y="1002632"/>
                <a:pt x="566486" y="1002632"/>
              </a:cubicBezTo>
              <a:cubicBezTo>
                <a:pt x="568157" y="1009316"/>
                <a:pt x="568419" y="1016522"/>
                <a:pt x="571500" y="1022684"/>
              </a:cubicBezTo>
              <a:cubicBezTo>
                <a:pt x="573614" y="1026912"/>
                <a:pt x="579412" y="1028483"/>
                <a:pt x="581526" y="1032711"/>
              </a:cubicBezTo>
              <a:cubicBezTo>
                <a:pt x="586252" y="1042164"/>
                <a:pt x="588210" y="1052764"/>
                <a:pt x="591552" y="1062790"/>
              </a:cubicBezTo>
              <a:lnTo>
                <a:pt x="596565" y="1077829"/>
              </a:lnTo>
              <a:cubicBezTo>
                <a:pt x="598236" y="1096211"/>
                <a:pt x="598371" y="1114797"/>
                <a:pt x="601579" y="1132974"/>
              </a:cubicBezTo>
              <a:cubicBezTo>
                <a:pt x="604589" y="1150031"/>
                <a:pt x="612606" y="1162044"/>
                <a:pt x="616618" y="1178092"/>
              </a:cubicBezTo>
              <a:cubicBezTo>
                <a:pt x="622777" y="1202730"/>
                <a:pt x="616759" y="1193273"/>
                <a:pt x="631658" y="1208171"/>
              </a:cubicBezTo>
              <a:cubicBezTo>
                <a:pt x="638520" y="1221897"/>
                <a:pt x="642261" y="1231451"/>
                <a:pt x="651710" y="1243263"/>
              </a:cubicBezTo>
              <a:cubicBezTo>
                <a:pt x="654663" y="1246954"/>
                <a:pt x="658394" y="1249948"/>
                <a:pt x="661736" y="1253290"/>
              </a:cubicBezTo>
              <a:cubicBezTo>
                <a:pt x="663407" y="1258303"/>
                <a:pt x="663013" y="1264593"/>
                <a:pt x="666750" y="1268329"/>
              </a:cubicBezTo>
              <a:cubicBezTo>
                <a:pt x="675271" y="1276850"/>
                <a:pt x="688308" y="1279861"/>
                <a:pt x="696829" y="1288382"/>
              </a:cubicBezTo>
              <a:cubicBezTo>
                <a:pt x="716129" y="1307682"/>
                <a:pt x="705969" y="1299488"/>
                <a:pt x="726908" y="1313448"/>
              </a:cubicBezTo>
              <a:cubicBezTo>
                <a:pt x="730250" y="1318461"/>
                <a:pt x="732400" y="1324520"/>
                <a:pt x="736934" y="1328487"/>
              </a:cubicBezTo>
              <a:cubicBezTo>
                <a:pt x="746003" y="1336422"/>
                <a:pt x="756987" y="1341856"/>
                <a:pt x="767013" y="1348540"/>
              </a:cubicBezTo>
              <a:cubicBezTo>
                <a:pt x="772026" y="1351882"/>
                <a:pt x="777792" y="1354306"/>
                <a:pt x="782052" y="1358566"/>
              </a:cubicBezTo>
              <a:cubicBezTo>
                <a:pt x="785394" y="1361908"/>
                <a:pt x="787735" y="1366730"/>
                <a:pt x="792079" y="1368592"/>
              </a:cubicBezTo>
              <a:cubicBezTo>
                <a:pt x="799911" y="1371949"/>
                <a:pt x="808789" y="1371935"/>
                <a:pt x="817144" y="1373606"/>
              </a:cubicBezTo>
              <a:cubicBezTo>
                <a:pt x="818815" y="1378619"/>
                <a:pt x="818857" y="1384519"/>
                <a:pt x="822158" y="1388645"/>
              </a:cubicBezTo>
              <a:cubicBezTo>
                <a:pt x="825922" y="1393350"/>
                <a:pt x="832492" y="1394907"/>
                <a:pt x="837197" y="1398671"/>
              </a:cubicBezTo>
              <a:cubicBezTo>
                <a:pt x="872905" y="1427239"/>
                <a:pt x="815982" y="1387872"/>
                <a:pt x="862263" y="1418724"/>
              </a:cubicBezTo>
              <a:cubicBezTo>
                <a:pt x="865605" y="1425408"/>
                <a:pt x="867505" y="1433036"/>
                <a:pt x="872289" y="1438777"/>
              </a:cubicBezTo>
              <a:cubicBezTo>
                <a:pt x="876146" y="1443406"/>
                <a:pt x="883068" y="1444543"/>
                <a:pt x="887329" y="1448803"/>
              </a:cubicBezTo>
              <a:cubicBezTo>
                <a:pt x="891589" y="1453063"/>
                <a:pt x="893095" y="1459582"/>
                <a:pt x="897355" y="1463842"/>
              </a:cubicBezTo>
              <a:cubicBezTo>
                <a:pt x="901615" y="1468102"/>
                <a:pt x="907689" y="1470105"/>
                <a:pt x="912394" y="1473869"/>
              </a:cubicBezTo>
              <a:cubicBezTo>
                <a:pt x="916085" y="1476822"/>
                <a:pt x="919079" y="1480553"/>
                <a:pt x="922421" y="1483895"/>
              </a:cubicBezTo>
              <a:cubicBezTo>
                <a:pt x="925763" y="1493921"/>
                <a:pt x="923653" y="1508112"/>
                <a:pt x="932447" y="1513974"/>
              </a:cubicBezTo>
              <a:cubicBezTo>
                <a:pt x="937460" y="1517316"/>
                <a:pt x="942952" y="1520033"/>
                <a:pt x="947486" y="1524000"/>
              </a:cubicBezTo>
              <a:cubicBezTo>
                <a:pt x="1001404" y="1571178"/>
                <a:pt x="953458" y="1530132"/>
                <a:pt x="982579" y="1564106"/>
              </a:cubicBezTo>
              <a:cubicBezTo>
                <a:pt x="988731" y="1571283"/>
                <a:pt x="995947" y="1577474"/>
                <a:pt x="1002631" y="1584158"/>
              </a:cubicBezTo>
              <a:cubicBezTo>
                <a:pt x="1004302" y="1589171"/>
                <a:pt x="1004473" y="1594970"/>
                <a:pt x="1007644" y="1599198"/>
              </a:cubicBezTo>
              <a:cubicBezTo>
                <a:pt x="1022305" y="1618746"/>
                <a:pt x="1030357" y="1622694"/>
                <a:pt x="1047750" y="1634290"/>
              </a:cubicBezTo>
              <a:cubicBezTo>
                <a:pt x="1051092" y="1639303"/>
                <a:pt x="1053855" y="1644755"/>
                <a:pt x="1057776" y="1649329"/>
              </a:cubicBezTo>
              <a:cubicBezTo>
                <a:pt x="1073985" y="1668239"/>
                <a:pt x="1075129" y="1667582"/>
                <a:pt x="1092868" y="1679408"/>
              </a:cubicBezTo>
              <a:cubicBezTo>
                <a:pt x="1096210" y="1684421"/>
                <a:pt x="1097300" y="1692210"/>
                <a:pt x="1102894" y="1694448"/>
              </a:cubicBezTo>
              <a:cubicBezTo>
                <a:pt x="1107801" y="1696411"/>
                <a:pt x="1113807" y="1692735"/>
                <a:pt x="1117934" y="1689434"/>
              </a:cubicBezTo>
              <a:cubicBezTo>
                <a:pt x="1126768" y="1682366"/>
                <a:pt x="1129671" y="1669263"/>
                <a:pt x="1132973" y="1659356"/>
              </a:cubicBezTo>
              <a:cubicBezTo>
                <a:pt x="1129631" y="1656014"/>
                <a:pt x="1123375" y="1654036"/>
                <a:pt x="1122947" y="1649329"/>
              </a:cubicBezTo>
              <a:cubicBezTo>
                <a:pt x="1122605" y="1645565"/>
                <a:pt x="1132176" y="1570485"/>
                <a:pt x="1132973" y="1564106"/>
              </a:cubicBezTo>
              <a:cubicBezTo>
                <a:pt x="1139657" y="1565777"/>
                <a:pt x="1147646" y="1564815"/>
                <a:pt x="1153026" y="1569119"/>
              </a:cubicBezTo>
              <a:cubicBezTo>
                <a:pt x="1159824" y="1574557"/>
                <a:pt x="1155245" y="1597226"/>
                <a:pt x="1168065" y="1599198"/>
              </a:cubicBezTo>
              <a:cubicBezTo>
                <a:pt x="1207738" y="1605302"/>
                <a:pt x="1248291" y="1602207"/>
                <a:pt x="1288381" y="1604211"/>
              </a:cubicBezTo>
              <a:cubicBezTo>
                <a:pt x="1333860" y="1606485"/>
                <a:pt x="1378534" y="1609479"/>
                <a:pt x="1423736" y="1614237"/>
              </a:cubicBezTo>
              <a:cubicBezTo>
                <a:pt x="1437135" y="1615647"/>
                <a:pt x="1450473" y="1617579"/>
                <a:pt x="1463842" y="1619250"/>
              </a:cubicBezTo>
              <a:cubicBezTo>
                <a:pt x="1473868" y="1622592"/>
                <a:pt x="1483434" y="1630588"/>
                <a:pt x="1493921" y="1629277"/>
              </a:cubicBezTo>
              <a:cubicBezTo>
                <a:pt x="1545751" y="1622797"/>
                <a:pt x="1520689" y="1626168"/>
                <a:pt x="1569118" y="1619250"/>
              </a:cubicBezTo>
              <a:cubicBezTo>
                <a:pt x="1574131" y="1617579"/>
                <a:pt x="1580421" y="1617974"/>
                <a:pt x="1584158" y="1614237"/>
              </a:cubicBezTo>
              <a:cubicBezTo>
                <a:pt x="1600158" y="1598237"/>
                <a:pt x="1594963" y="1566001"/>
                <a:pt x="1599197" y="1549066"/>
              </a:cubicBezTo>
              <a:cubicBezTo>
                <a:pt x="1600658" y="1543221"/>
                <a:pt x="1605881" y="1539040"/>
                <a:pt x="1609223" y="1534027"/>
              </a:cubicBezTo>
              <a:cubicBezTo>
                <a:pt x="1612565" y="1524001"/>
                <a:pt x="1611777" y="1511421"/>
                <a:pt x="1619250" y="1503948"/>
              </a:cubicBezTo>
              <a:lnTo>
                <a:pt x="1644315" y="1478882"/>
              </a:lnTo>
              <a:cubicBezTo>
                <a:pt x="1647657" y="1475540"/>
                <a:pt x="1649757" y="1470003"/>
                <a:pt x="1654342" y="1468856"/>
              </a:cubicBezTo>
              <a:lnTo>
                <a:pt x="1674394" y="1463842"/>
              </a:lnTo>
              <a:cubicBezTo>
                <a:pt x="1699529" y="1438709"/>
                <a:pt x="1675968" y="1457951"/>
                <a:pt x="1744579" y="1448803"/>
              </a:cubicBezTo>
              <a:cubicBezTo>
                <a:pt x="1749817" y="1448105"/>
                <a:pt x="1754436" y="1444826"/>
                <a:pt x="1759618" y="1443790"/>
              </a:cubicBezTo>
              <a:cubicBezTo>
                <a:pt x="1841330" y="1427447"/>
                <a:pt x="1796242" y="1441608"/>
                <a:pt x="1834815" y="1428750"/>
              </a:cubicBezTo>
              <a:cubicBezTo>
                <a:pt x="1838157" y="1425408"/>
                <a:pt x="1840789" y="1421156"/>
                <a:pt x="1844842" y="1418724"/>
              </a:cubicBezTo>
              <a:cubicBezTo>
                <a:pt x="1849373" y="1416005"/>
                <a:pt x="1854633" y="1414328"/>
                <a:pt x="1859881" y="1413711"/>
              </a:cubicBezTo>
              <a:cubicBezTo>
                <a:pt x="1883175" y="1410971"/>
                <a:pt x="1906670" y="1410369"/>
                <a:pt x="1930065" y="1408698"/>
              </a:cubicBezTo>
              <a:cubicBezTo>
                <a:pt x="1935078" y="1407027"/>
                <a:pt x="1939882" y="1404488"/>
                <a:pt x="1945105" y="1403684"/>
              </a:cubicBezTo>
              <a:cubicBezTo>
                <a:pt x="1998561" y="1395459"/>
                <a:pt x="2001085" y="1362744"/>
                <a:pt x="2020302" y="1353553"/>
              </a:cubicBezTo>
              <a:close/>
            </a:path>
          </a:pathLst>
        </a:custGeom>
        <a:solidFill>
          <a:srgbClr val="FFFF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232610</xdr:colOff>
      <xdr:row>22</xdr:row>
      <xdr:rowOff>100234</xdr:rowOff>
    </xdr:from>
    <xdr:to>
      <xdr:col>34</xdr:col>
      <xdr:colOff>571500</xdr:colOff>
      <xdr:row>24</xdr:row>
      <xdr:rowOff>155408</xdr:rowOff>
    </xdr:to>
    <xdr:sp macro="" textlink="">
      <xdr:nvSpPr>
        <xdr:cNvPr id="18" name="Freeform 17"/>
        <xdr:cNvSpPr/>
      </xdr:nvSpPr>
      <xdr:spPr>
        <a:xfrm>
          <a:off x="20501810" y="4291234"/>
          <a:ext cx="338890" cy="436174"/>
        </a:xfrm>
        <a:custGeom>
          <a:avLst/>
          <a:gdLst>
            <a:gd name="connsiteX0" fmla="*/ 265698 w 340895"/>
            <a:gd name="connsiteY0" fmla="*/ 29 h 436174"/>
            <a:gd name="connsiteX1" fmla="*/ 290764 w 340895"/>
            <a:gd name="connsiteY1" fmla="*/ 25095 h 436174"/>
            <a:gd name="connsiteX2" fmla="*/ 300790 w 340895"/>
            <a:gd name="connsiteY2" fmla="*/ 55174 h 436174"/>
            <a:gd name="connsiteX3" fmla="*/ 310816 w 340895"/>
            <a:gd name="connsiteY3" fmla="*/ 70213 h 436174"/>
            <a:gd name="connsiteX4" fmla="*/ 315829 w 340895"/>
            <a:gd name="connsiteY4" fmla="*/ 85253 h 436174"/>
            <a:gd name="connsiteX5" fmla="*/ 325856 w 340895"/>
            <a:gd name="connsiteY5" fmla="*/ 95279 h 436174"/>
            <a:gd name="connsiteX6" fmla="*/ 340895 w 340895"/>
            <a:gd name="connsiteY6" fmla="*/ 125358 h 436174"/>
            <a:gd name="connsiteX7" fmla="*/ 310816 w 340895"/>
            <a:gd name="connsiteY7" fmla="*/ 140398 h 436174"/>
            <a:gd name="connsiteX8" fmla="*/ 280737 w 340895"/>
            <a:gd name="connsiteY8" fmla="*/ 155437 h 436174"/>
            <a:gd name="connsiteX9" fmla="*/ 265698 w 340895"/>
            <a:gd name="connsiteY9" fmla="*/ 150424 h 436174"/>
            <a:gd name="connsiteX10" fmla="*/ 180474 w 340895"/>
            <a:gd name="connsiteY10" fmla="*/ 160450 h 436174"/>
            <a:gd name="connsiteX11" fmla="*/ 170448 w 340895"/>
            <a:gd name="connsiteY11" fmla="*/ 170477 h 436174"/>
            <a:gd name="connsiteX12" fmla="*/ 160422 w 340895"/>
            <a:gd name="connsiteY12" fmla="*/ 215595 h 436174"/>
            <a:gd name="connsiteX13" fmla="*/ 195514 w 340895"/>
            <a:gd name="connsiteY13" fmla="*/ 220608 h 436174"/>
            <a:gd name="connsiteX14" fmla="*/ 215566 w 340895"/>
            <a:gd name="connsiteY14" fmla="*/ 250687 h 436174"/>
            <a:gd name="connsiteX15" fmla="*/ 235619 w 340895"/>
            <a:gd name="connsiteY15" fmla="*/ 270740 h 436174"/>
            <a:gd name="connsiteX16" fmla="*/ 245645 w 340895"/>
            <a:gd name="connsiteY16" fmla="*/ 285779 h 436174"/>
            <a:gd name="connsiteX17" fmla="*/ 265698 w 340895"/>
            <a:gd name="connsiteY17" fmla="*/ 305832 h 436174"/>
            <a:gd name="connsiteX18" fmla="*/ 260685 w 340895"/>
            <a:gd name="connsiteY18" fmla="*/ 330898 h 436174"/>
            <a:gd name="connsiteX19" fmla="*/ 245645 w 340895"/>
            <a:gd name="connsiteY19" fmla="*/ 365990 h 436174"/>
            <a:gd name="connsiteX20" fmla="*/ 220579 w 340895"/>
            <a:gd name="connsiteY20" fmla="*/ 360977 h 436174"/>
            <a:gd name="connsiteX21" fmla="*/ 180474 w 340895"/>
            <a:gd name="connsiteY21" fmla="*/ 371003 h 436174"/>
            <a:gd name="connsiteX22" fmla="*/ 170448 w 340895"/>
            <a:gd name="connsiteY22" fmla="*/ 386042 h 436174"/>
            <a:gd name="connsiteX23" fmla="*/ 155408 w 340895"/>
            <a:gd name="connsiteY23" fmla="*/ 396069 h 436174"/>
            <a:gd name="connsiteX24" fmla="*/ 140369 w 340895"/>
            <a:gd name="connsiteY24" fmla="*/ 426148 h 436174"/>
            <a:gd name="connsiteX25" fmla="*/ 110290 w 340895"/>
            <a:gd name="connsiteY25" fmla="*/ 436174 h 436174"/>
            <a:gd name="connsiteX26" fmla="*/ 90237 w 340895"/>
            <a:gd name="connsiteY26" fmla="*/ 431161 h 436174"/>
            <a:gd name="connsiteX27" fmla="*/ 60158 w 340895"/>
            <a:gd name="connsiteY27" fmla="*/ 421134 h 436174"/>
            <a:gd name="connsiteX28" fmla="*/ 15040 w 340895"/>
            <a:gd name="connsiteY28" fmla="*/ 416121 h 436174"/>
            <a:gd name="connsiteX29" fmla="*/ 10027 w 340895"/>
            <a:gd name="connsiteY29" fmla="*/ 401082 h 436174"/>
            <a:gd name="connsiteX30" fmla="*/ 20053 w 340895"/>
            <a:gd name="connsiteY30" fmla="*/ 260713 h 436174"/>
            <a:gd name="connsiteX31" fmla="*/ 10027 w 340895"/>
            <a:gd name="connsiteY31" fmla="*/ 175490 h 436174"/>
            <a:gd name="connsiteX32" fmla="*/ 0 w 340895"/>
            <a:gd name="connsiteY32" fmla="*/ 145411 h 436174"/>
            <a:gd name="connsiteX33" fmla="*/ 5014 w 340895"/>
            <a:gd name="connsiteY33" fmla="*/ 90266 h 436174"/>
            <a:gd name="connsiteX34" fmla="*/ 20053 w 340895"/>
            <a:gd name="connsiteY34" fmla="*/ 80240 h 436174"/>
            <a:gd name="connsiteX35" fmla="*/ 55145 w 340895"/>
            <a:gd name="connsiteY35" fmla="*/ 90266 h 436174"/>
            <a:gd name="connsiteX36" fmla="*/ 65172 w 340895"/>
            <a:gd name="connsiteY36" fmla="*/ 100292 h 436174"/>
            <a:gd name="connsiteX37" fmla="*/ 130343 w 340895"/>
            <a:gd name="connsiteY37" fmla="*/ 100292 h 436174"/>
            <a:gd name="connsiteX38" fmla="*/ 145382 w 340895"/>
            <a:gd name="connsiteY38" fmla="*/ 95279 h 436174"/>
            <a:gd name="connsiteX39" fmla="*/ 175461 w 340895"/>
            <a:gd name="connsiteY39" fmla="*/ 75227 h 436174"/>
            <a:gd name="connsiteX40" fmla="*/ 200527 w 340895"/>
            <a:gd name="connsiteY40" fmla="*/ 55174 h 436174"/>
            <a:gd name="connsiteX41" fmla="*/ 230606 w 340895"/>
            <a:gd name="connsiteY41" fmla="*/ 35121 h 436174"/>
            <a:gd name="connsiteX42" fmla="*/ 235619 w 340895"/>
            <a:gd name="connsiteY42" fmla="*/ 20082 h 436174"/>
            <a:gd name="connsiteX43" fmla="*/ 265698 w 340895"/>
            <a:gd name="connsiteY43" fmla="*/ 29 h 4361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</a:cxnLst>
          <a:rect l="l" t="t" r="r" b="b"/>
          <a:pathLst>
            <a:path w="340895" h="436174">
              <a:moveTo>
                <a:pt x="265698" y="29"/>
              </a:moveTo>
              <a:cubicBezTo>
                <a:pt x="274889" y="865"/>
                <a:pt x="284420" y="15126"/>
                <a:pt x="290764" y="25095"/>
              </a:cubicBezTo>
              <a:cubicBezTo>
                <a:pt x="296438" y="34011"/>
                <a:pt x="294928" y="46380"/>
                <a:pt x="300790" y="55174"/>
              </a:cubicBezTo>
              <a:lnTo>
                <a:pt x="310816" y="70213"/>
              </a:lnTo>
              <a:cubicBezTo>
                <a:pt x="312487" y="75226"/>
                <a:pt x="313110" y="80722"/>
                <a:pt x="315829" y="85253"/>
              </a:cubicBezTo>
              <a:cubicBezTo>
                <a:pt x="318261" y="89306"/>
                <a:pt x="322903" y="91588"/>
                <a:pt x="325856" y="95279"/>
              </a:cubicBezTo>
              <a:cubicBezTo>
                <a:pt x="336961" y="109160"/>
                <a:pt x="335601" y="109475"/>
                <a:pt x="340895" y="125358"/>
              </a:cubicBezTo>
              <a:cubicBezTo>
                <a:pt x="297797" y="154090"/>
                <a:pt x="352326" y="119642"/>
                <a:pt x="310816" y="140398"/>
              </a:cubicBezTo>
              <a:cubicBezTo>
                <a:pt x="271951" y="159831"/>
                <a:pt x="318535" y="142839"/>
                <a:pt x="280737" y="155437"/>
              </a:cubicBezTo>
              <a:cubicBezTo>
                <a:pt x="275724" y="153766"/>
                <a:pt x="270982" y="150424"/>
                <a:pt x="265698" y="150424"/>
              </a:cubicBezTo>
              <a:cubicBezTo>
                <a:pt x="206413" y="150424"/>
                <a:pt x="214122" y="149235"/>
                <a:pt x="180474" y="160450"/>
              </a:cubicBezTo>
              <a:cubicBezTo>
                <a:pt x="177132" y="163792"/>
                <a:pt x="174139" y="167524"/>
                <a:pt x="170448" y="170477"/>
              </a:cubicBezTo>
              <a:cubicBezTo>
                <a:pt x="157388" y="180925"/>
                <a:pt x="131391" y="186564"/>
                <a:pt x="160422" y="215595"/>
              </a:cubicBezTo>
              <a:cubicBezTo>
                <a:pt x="168777" y="223950"/>
                <a:pt x="183817" y="218937"/>
                <a:pt x="195514" y="220608"/>
              </a:cubicBezTo>
              <a:cubicBezTo>
                <a:pt x="202198" y="230634"/>
                <a:pt x="207045" y="242166"/>
                <a:pt x="215566" y="250687"/>
              </a:cubicBezTo>
              <a:cubicBezTo>
                <a:pt x="222250" y="257371"/>
                <a:pt x="230375" y="262875"/>
                <a:pt x="235619" y="270740"/>
              </a:cubicBezTo>
              <a:cubicBezTo>
                <a:pt x="238961" y="275753"/>
                <a:pt x="241724" y="281205"/>
                <a:pt x="245645" y="285779"/>
              </a:cubicBezTo>
              <a:cubicBezTo>
                <a:pt x="251797" y="292956"/>
                <a:pt x="265698" y="305832"/>
                <a:pt x="265698" y="305832"/>
              </a:cubicBezTo>
              <a:cubicBezTo>
                <a:pt x="276052" y="336894"/>
                <a:pt x="271007" y="306813"/>
                <a:pt x="260685" y="330898"/>
              </a:cubicBezTo>
              <a:cubicBezTo>
                <a:pt x="242866" y="372477"/>
                <a:pt x="268287" y="343348"/>
                <a:pt x="245645" y="365990"/>
              </a:cubicBezTo>
              <a:cubicBezTo>
                <a:pt x="237290" y="364319"/>
                <a:pt x="229100" y="360977"/>
                <a:pt x="220579" y="360977"/>
              </a:cubicBezTo>
              <a:cubicBezTo>
                <a:pt x="208481" y="360977"/>
                <a:pt x="192341" y="367048"/>
                <a:pt x="180474" y="371003"/>
              </a:cubicBezTo>
              <a:cubicBezTo>
                <a:pt x="177132" y="376016"/>
                <a:pt x="174708" y="381782"/>
                <a:pt x="170448" y="386042"/>
              </a:cubicBezTo>
              <a:cubicBezTo>
                <a:pt x="166187" y="390303"/>
                <a:pt x="159172" y="391364"/>
                <a:pt x="155408" y="396069"/>
              </a:cubicBezTo>
              <a:cubicBezTo>
                <a:pt x="145029" y="409043"/>
                <a:pt x="157272" y="415583"/>
                <a:pt x="140369" y="426148"/>
              </a:cubicBezTo>
              <a:cubicBezTo>
                <a:pt x="131407" y="431749"/>
                <a:pt x="110290" y="436174"/>
                <a:pt x="110290" y="436174"/>
              </a:cubicBezTo>
              <a:cubicBezTo>
                <a:pt x="103606" y="434503"/>
                <a:pt x="96836" y="433141"/>
                <a:pt x="90237" y="431161"/>
              </a:cubicBezTo>
              <a:cubicBezTo>
                <a:pt x="80114" y="428124"/>
                <a:pt x="70662" y="422301"/>
                <a:pt x="60158" y="421134"/>
              </a:cubicBezTo>
              <a:lnTo>
                <a:pt x="15040" y="416121"/>
              </a:lnTo>
              <a:cubicBezTo>
                <a:pt x="13369" y="411108"/>
                <a:pt x="10027" y="406366"/>
                <a:pt x="10027" y="401082"/>
              </a:cubicBezTo>
              <a:cubicBezTo>
                <a:pt x="10027" y="295082"/>
                <a:pt x="6215" y="316069"/>
                <a:pt x="20053" y="260713"/>
              </a:cubicBezTo>
              <a:cubicBezTo>
                <a:pt x="18295" y="241377"/>
                <a:pt x="15775" y="198480"/>
                <a:pt x="10027" y="175490"/>
              </a:cubicBezTo>
              <a:cubicBezTo>
                <a:pt x="7464" y="165237"/>
                <a:pt x="0" y="145411"/>
                <a:pt x="0" y="145411"/>
              </a:cubicBezTo>
              <a:cubicBezTo>
                <a:pt x="1671" y="127029"/>
                <a:pt x="-414" y="107907"/>
                <a:pt x="5014" y="90266"/>
              </a:cubicBezTo>
              <a:cubicBezTo>
                <a:pt x="6786" y="84508"/>
                <a:pt x="14089" y="81092"/>
                <a:pt x="20053" y="80240"/>
              </a:cubicBezTo>
              <a:cubicBezTo>
                <a:pt x="24460" y="79610"/>
                <a:pt x="49500" y="88384"/>
                <a:pt x="55145" y="90266"/>
              </a:cubicBezTo>
              <a:cubicBezTo>
                <a:pt x="58487" y="93608"/>
                <a:pt x="61119" y="97860"/>
                <a:pt x="65172" y="100292"/>
              </a:cubicBezTo>
              <a:cubicBezTo>
                <a:pt x="84345" y="111795"/>
                <a:pt x="112449" y="102081"/>
                <a:pt x="130343" y="100292"/>
              </a:cubicBezTo>
              <a:cubicBezTo>
                <a:pt x="135356" y="98621"/>
                <a:pt x="140763" y="97845"/>
                <a:pt x="145382" y="95279"/>
              </a:cubicBezTo>
              <a:cubicBezTo>
                <a:pt x="155916" y="89427"/>
                <a:pt x="175461" y="75227"/>
                <a:pt x="175461" y="75227"/>
              </a:cubicBezTo>
              <a:cubicBezTo>
                <a:pt x="197884" y="41590"/>
                <a:pt x="171469" y="74547"/>
                <a:pt x="200527" y="55174"/>
              </a:cubicBezTo>
              <a:cubicBezTo>
                <a:pt x="238079" y="30139"/>
                <a:pt x="194844" y="47041"/>
                <a:pt x="230606" y="35121"/>
              </a:cubicBezTo>
              <a:cubicBezTo>
                <a:pt x="232277" y="30108"/>
                <a:pt x="231883" y="23818"/>
                <a:pt x="235619" y="20082"/>
              </a:cubicBezTo>
              <a:cubicBezTo>
                <a:pt x="239355" y="16346"/>
                <a:pt x="256507" y="-807"/>
                <a:pt x="265698" y="29"/>
              </a:cubicBezTo>
              <a:close/>
            </a:path>
          </a:pathLst>
        </a:custGeom>
        <a:solidFill>
          <a:srgbClr val="5BEB47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511342</xdr:colOff>
      <xdr:row>20</xdr:row>
      <xdr:rowOff>42519</xdr:rowOff>
    </xdr:from>
    <xdr:to>
      <xdr:col>36</xdr:col>
      <xdr:colOff>288583</xdr:colOff>
      <xdr:row>24</xdr:row>
      <xdr:rowOff>160421</xdr:rowOff>
    </xdr:to>
    <xdr:sp macro="" textlink="">
      <xdr:nvSpPr>
        <xdr:cNvPr id="19" name="Freeform 18"/>
        <xdr:cNvSpPr/>
      </xdr:nvSpPr>
      <xdr:spPr>
        <a:xfrm>
          <a:off x="20780542" y="3852519"/>
          <a:ext cx="996441" cy="879902"/>
        </a:xfrm>
        <a:custGeom>
          <a:avLst/>
          <a:gdLst>
            <a:gd name="connsiteX0" fmla="*/ 190500 w 998446"/>
            <a:gd name="connsiteY0" fmla="*/ 2599 h 879902"/>
            <a:gd name="connsiteX1" fmla="*/ 330869 w 998446"/>
            <a:gd name="connsiteY1" fmla="*/ 2599 h 879902"/>
            <a:gd name="connsiteX2" fmla="*/ 360948 w 998446"/>
            <a:gd name="connsiteY2" fmla="*/ 7613 h 879902"/>
            <a:gd name="connsiteX3" fmla="*/ 381000 w 998446"/>
            <a:gd name="connsiteY3" fmla="*/ 37692 h 879902"/>
            <a:gd name="connsiteX4" fmla="*/ 391027 w 998446"/>
            <a:gd name="connsiteY4" fmla="*/ 47718 h 879902"/>
            <a:gd name="connsiteX5" fmla="*/ 401053 w 998446"/>
            <a:gd name="connsiteY5" fmla="*/ 62757 h 879902"/>
            <a:gd name="connsiteX6" fmla="*/ 431132 w 998446"/>
            <a:gd name="connsiteY6" fmla="*/ 72784 h 879902"/>
            <a:gd name="connsiteX7" fmla="*/ 446171 w 998446"/>
            <a:gd name="connsiteY7" fmla="*/ 77797 h 879902"/>
            <a:gd name="connsiteX8" fmla="*/ 471237 w 998446"/>
            <a:gd name="connsiteY8" fmla="*/ 97849 h 879902"/>
            <a:gd name="connsiteX9" fmla="*/ 506329 w 998446"/>
            <a:gd name="connsiteY9" fmla="*/ 132942 h 879902"/>
            <a:gd name="connsiteX10" fmla="*/ 531395 w 998446"/>
            <a:gd name="connsiteY10" fmla="*/ 152994 h 879902"/>
            <a:gd name="connsiteX11" fmla="*/ 546435 w 998446"/>
            <a:gd name="connsiteY11" fmla="*/ 158007 h 879902"/>
            <a:gd name="connsiteX12" fmla="*/ 556461 w 998446"/>
            <a:gd name="connsiteY12" fmla="*/ 168034 h 879902"/>
            <a:gd name="connsiteX13" fmla="*/ 571500 w 998446"/>
            <a:gd name="connsiteY13" fmla="*/ 173047 h 879902"/>
            <a:gd name="connsiteX14" fmla="*/ 576513 w 998446"/>
            <a:gd name="connsiteY14" fmla="*/ 188086 h 879902"/>
            <a:gd name="connsiteX15" fmla="*/ 586540 w 998446"/>
            <a:gd name="connsiteY15" fmla="*/ 198113 h 879902"/>
            <a:gd name="connsiteX16" fmla="*/ 596566 w 998446"/>
            <a:gd name="connsiteY16" fmla="*/ 213152 h 879902"/>
            <a:gd name="connsiteX17" fmla="*/ 586540 w 998446"/>
            <a:gd name="connsiteY17" fmla="*/ 243231 h 879902"/>
            <a:gd name="connsiteX18" fmla="*/ 581527 w 998446"/>
            <a:gd name="connsiteY18" fmla="*/ 268297 h 879902"/>
            <a:gd name="connsiteX19" fmla="*/ 571500 w 998446"/>
            <a:gd name="connsiteY19" fmla="*/ 278323 h 879902"/>
            <a:gd name="connsiteX20" fmla="*/ 576513 w 998446"/>
            <a:gd name="connsiteY20" fmla="*/ 298376 h 879902"/>
            <a:gd name="connsiteX21" fmla="*/ 586540 w 998446"/>
            <a:gd name="connsiteY21" fmla="*/ 308402 h 879902"/>
            <a:gd name="connsiteX22" fmla="*/ 596566 w 998446"/>
            <a:gd name="connsiteY22" fmla="*/ 338481 h 879902"/>
            <a:gd name="connsiteX23" fmla="*/ 616619 w 998446"/>
            <a:gd name="connsiteY23" fmla="*/ 363547 h 879902"/>
            <a:gd name="connsiteX24" fmla="*/ 646698 w 998446"/>
            <a:gd name="connsiteY24" fmla="*/ 398639 h 879902"/>
            <a:gd name="connsiteX25" fmla="*/ 661737 w 998446"/>
            <a:gd name="connsiteY25" fmla="*/ 408665 h 879902"/>
            <a:gd name="connsiteX26" fmla="*/ 696829 w 998446"/>
            <a:gd name="connsiteY26" fmla="*/ 433731 h 879902"/>
            <a:gd name="connsiteX27" fmla="*/ 731921 w 998446"/>
            <a:gd name="connsiteY27" fmla="*/ 468823 h 879902"/>
            <a:gd name="connsiteX28" fmla="*/ 741948 w 998446"/>
            <a:gd name="connsiteY28" fmla="*/ 478849 h 879902"/>
            <a:gd name="connsiteX29" fmla="*/ 756987 w 998446"/>
            <a:gd name="connsiteY29" fmla="*/ 483863 h 879902"/>
            <a:gd name="connsiteX30" fmla="*/ 802106 w 998446"/>
            <a:gd name="connsiteY30" fmla="*/ 493889 h 879902"/>
            <a:gd name="connsiteX31" fmla="*/ 817145 w 998446"/>
            <a:gd name="connsiteY31" fmla="*/ 503915 h 879902"/>
            <a:gd name="connsiteX32" fmla="*/ 827171 w 998446"/>
            <a:gd name="connsiteY32" fmla="*/ 513942 h 879902"/>
            <a:gd name="connsiteX33" fmla="*/ 857250 w 998446"/>
            <a:gd name="connsiteY33" fmla="*/ 533994 h 879902"/>
            <a:gd name="connsiteX34" fmla="*/ 877303 w 998446"/>
            <a:gd name="connsiteY34" fmla="*/ 554047 h 879902"/>
            <a:gd name="connsiteX35" fmla="*/ 887329 w 998446"/>
            <a:gd name="connsiteY35" fmla="*/ 569086 h 879902"/>
            <a:gd name="connsiteX36" fmla="*/ 902369 w 998446"/>
            <a:gd name="connsiteY36" fmla="*/ 579113 h 879902"/>
            <a:gd name="connsiteX37" fmla="*/ 902369 w 998446"/>
            <a:gd name="connsiteY37" fmla="*/ 609192 h 879902"/>
            <a:gd name="connsiteX38" fmla="*/ 912395 w 998446"/>
            <a:gd name="connsiteY38" fmla="*/ 649297 h 879902"/>
            <a:gd name="connsiteX39" fmla="*/ 917408 w 998446"/>
            <a:gd name="connsiteY39" fmla="*/ 664336 h 879902"/>
            <a:gd name="connsiteX40" fmla="*/ 927435 w 998446"/>
            <a:gd name="connsiteY40" fmla="*/ 674363 h 879902"/>
            <a:gd name="connsiteX41" fmla="*/ 947487 w 998446"/>
            <a:gd name="connsiteY41" fmla="*/ 699428 h 879902"/>
            <a:gd name="connsiteX42" fmla="*/ 957513 w 998446"/>
            <a:gd name="connsiteY42" fmla="*/ 714468 h 879902"/>
            <a:gd name="connsiteX43" fmla="*/ 967540 w 998446"/>
            <a:gd name="connsiteY43" fmla="*/ 724494 h 879902"/>
            <a:gd name="connsiteX44" fmla="*/ 972553 w 998446"/>
            <a:gd name="connsiteY44" fmla="*/ 739534 h 879902"/>
            <a:gd name="connsiteX45" fmla="*/ 992606 w 998446"/>
            <a:gd name="connsiteY45" fmla="*/ 764599 h 879902"/>
            <a:gd name="connsiteX46" fmla="*/ 912395 w 998446"/>
            <a:gd name="connsiteY46" fmla="*/ 784652 h 879902"/>
            <a:gd name="connsiteX47" fmla="*/ 897356 w 998446"/>
            <a:gd name="connsiteY47" fmla="*/ 814731 h 879902"/>
            <a:gd name="connsiteX48" fmla="*/ 882316 w 998446"/>
            <a:gd name="connsiteY48" fmla="*/ 819744 h 879902"/>
            <a:gd name="connsiteX49" fmla="*/ 867277 w 998446"/>
            <a:gd name="connsiteY49" fmla="*/ 849823 h 879902"/>
            <a:gd name="connsiteX50" fmla="*/ 862263 w 998446"/>
            <a:gd name="connsiteY50" fmla="*/ 864863 h 879902"/>
            <a:gd name="connsiteX51" fmla="*/ 792079 w 998446"/>
            <a:gd name="connsiteY51" fmla="*/ 879902 h 879902"/>
            <a:gd name="connsiteX52" fmla="*/ 731921 w 998446"/>
            <a:gd name="connsiteY52" fmla="*/ 874889 h 879902"/>
            <a:gd name="connsiteX53" fmla="*/ 706856 w 998446"/>
            <a:gd name="connsiteY53" fmla="*/ 869876 h 879902"/>
            <a:gd name="connsiteX54" fmla="*/ 696829 w 998446"/>
            <a:gd name="connsiteY54" fmla="*/ 859849 h 879902"/>
            <a:gd name="connsiteX55" fmla="*/ 671763 w 998446"/>
            <a:gd name="connsiteY55" fmla="*/ 854836 h 879902"/>
            <a:gd name="connsiteX56" fmla="*/ 656724 w 998446"/>
            <a:gd name="connsiteY56" fmla="*/ 844810 h 879902"/>
            <a:gd name="connsiteX57" fmla="*/ 636671 w 998446"/>
            <a:gd name="connsiteY57" fmla="*/ 819744 h 879902"/>
            <a:gd name="connsiteX58" fmla="*/ 606592 w 998446"/>
            <a:gd name="connsiteY58" fmla="*/ 799692 h 879902"/>
            <a:gd name="connsiteX59" fmla="*/ 591553 w 998446"/>
            <a:gd name="connsiteY59" fmla="*/ 789665 h 879902"/>
            <a:gd name="connsiteX60" fmla="*/ 576513 w 998446"/>
            <a:gd name="connsiteY60" fmla="*/ 784652 h 879902"/>
            <a:gd name="connsiteX61" fmla="*/ 561474 w 998446"/>
            <a:gd name="connsiteY61" fmla="*/ 774626 h 879902"/>
            <a:gd name="connsiteX62" fmla="*/ 516356 w 998446"/>
            <a:gd name="connsiteY62" fmla="*/ 764599 h 879902"/>
            <a:gd name="connsiteX63" fmla="*/ 501316 w 998446"/>
            <a:gd name="connsiteY63" fmla="*/ 759586 h 879902"/>
            <a:gd name="connsiteX64" fmla="*/ 486277 w 998446"/>
            <a:gd name="connsiteY64" fmla="*/ 749560 h 879902"/>
            <a:gd name="connsiteX65" fmla="*/ 451185 w 998446"/>
            <a:gd name="connsiteY65" fmla="*/ 719481 h 879902"/>
            <a:gd name="connsiteX66" fmla="*/ 431132 w 998446"/>
            <a:gd name="connsiteY66" fmla="*/ 714468 h 879902"/>
            <a:gd name="connsiteX67" fmla="*/ 416092 w 998446"/>
            <a:gd name="connsiteY67" fmla="*/ 704442 h 879902"/>
            <a:gd name="connsiteX68" fmla="*/ 396040 w 998446"/>
            <a:gd name="connsiteY68" fmla="*/ 684389 h 879902"/>
            <a:gd name="connsiteX69" fmla="*/ 370974 w 998446"/>
            <a:gd name="connsiteY69" fmla="*/ 669349 h 879902"/>
            <a:gd name="connsiteX70" fmla="*/ 355935 w 998446"/>
            <a:gd name="connsiteY70" fmla="*/ 659323 h 879902"/>
            <a:gd name="connsiteX71" fmla="*/ 290763 w 998446"/>
            <a:gd name="connsiteY71" fmla="*/ 644284 h 879902"/>
            <a:gd name="connsiteX72" fmla="*/ 265698 w 998446"/>
            <a:gd name="connsiteY72" fmla="*/ 639270 h 879902"/>
            <a:gd name="connsiteX73" fmla="*/ 255671 w 998446"/>
            <a:gd name="connsiteY73" fmla="*/ 629244 h 879902"/>
            <a:gd name="connsiteX74" fmla="*/ 200527 w 998446"/>
            <a:gd name="connsiteY74" fmla="*/ 614205 h 879902"/>
            <a:gd name="connsiteX75" fmla="*/ 170448 w 998446"/>
            <a:gd name="connsiteY75" fmla="*/ 594152 h 879902"/>
            <a:gd name="connsiteX76" fmla="*/ 140369 w 998446"/>
            <a:gd name="connsiteY76" fmla="*/ 584126 h 879902"/>
            <a:gd name="connsiteX77" fmla="*/ 130342 w 998446"/>
            <a:gd name="connsiteY77" fmla="*/ 574099 h 879902"/>
            <a:gd name="connsiteX78" fmla="*/ 95250 w 998446"/>
            <a:gd name="connsiteY78" fmla="*/ 564073 h 879902"/>
            <a:gd name="connsiteX79" fmla="*/ 65171 w 998446"/>
            <a:gd name="connsiteY79" fmla="*/ 554047 h 879902"/>
            <a:gd name="connsiteX80" fmla="*/ 55145 w 998446"/>
            <a:gd name="connsiteY80" fmla="*/ 544020 h 879902"/>
            <a:gd name="connsiteX81" fmla="*/ 45119 w 998446"/>
            <a:gd name="connsiteY81" fmla="*/ 528981 h 879902"/>
            <a:gd name="connsiteX82" fmla="*/ 30079 w 998446"/>
            <a:gd name="connsiteY82" fmla="*/ 523968 h 879902"/>
            <a:gd name="connsiteX83" fmla="*/ 15040 w 998446"/>
            <a:gd name="connsiteY83" fmla="*/ 493889 h 879902"/>
            <a:gd name="connsiteX84" fmla="*/ 0 w 998446"/>
            <a:gd name="connsiteY84" fmla="*/ 443757 h 879902"/>
            <a:gd name="connsiteX85" fmla="*/ 15040 w 998446"/>
            <a:gd name="connsiteY85" fmla="*/ 408665 h 879902"/>
            <a:gd name="connsiteX86" fmla="*/ 45119 w 998446"/>
            <a:gd name="connsiteY86" fmla="*/ 398639 h 879902"/>
            <a:gd name="connsiteX87" fmla="*/ 60158 w 998446"/>
            <a:gd name="connsiteY87" fmla="*/ 388613 h 879902"/>
            <a:gd name="connsiteX88" fmla="*/ 90237 w 998446"/>
            <a:gd name="connsiteY88" fmla="*/ 373573 h 879902"/>
            <a:gd name="connsiteX89" fmla="*/ 100263 w 998446"/>
            <a:gd name="connsiteY89" fmla="*/ 358534 h 879902"/>
            <a:gd name="connsiteX90" fmla="*/ 130342 w 998446"/>
            <a:gd name="connsiteY90" fmla="*/ 338481 h 879902"/>
            <a:gd name="connsiteX91" fmla="*/ 140369 w 998446"/>
            <a:gd name="connsiteY91" fmla="*/ 328455 h 879902"/>
            <a:gd name="connsiteX92" fmla="*/ 145382 w 998446"/>
            <a:gd name="connsiteY92" fmla="*/ 313415 h 879902"/>
            <a:gd name="connsiteX93" fmla="*/ 155408 w 998446"/>
            <a:gd name="connsiteY93" fmla="*/ 298376 h 879902"/>
            <a:gd name="connsiteX94" fmla="*/ 165435 w 998446"/>
            <a:gd name="connsiteY94" fmla="*/ 268297 h 879902"/>
            <a:gd name="connsiteX95" fmla="*/ 155408 w 998446"/>
            <a:gd name="connsiteY95" fmla="*/ 188086 h 879902"/>
            <a:gd name="connsiteX96" fmla="*/ 145382 w 998446"/>
            <a:gd name="connsiteY96" fmla="*/ 152994 h 879902"/>
            <a:gd name="connsiteX97" fmla="*/ 135356 w 998446"/>
            <a:gd name="connsiteY97" fmla="*/ 137955 h 879902"/>
            <a:gd name="connsiteX98" fmla="*/ 125329 w 998446"/>
            <a:gd name="connsiteY98" fmla="*/ 107876 h 879902"/>
            <a:gd name="connsiteX99" fmla="*/ 130342 w 998446"/>
            <a:gd name="connsiteY99" fmla="*/ 92836 h 879902"/>
            <a:gd name="connsiteX100" fmla="*/ 140369 w 998446"/>
            <a:gd name="connsiteY100" fmla="*/ 82810 h 879902"/>
            <a:gd name="connsiteX101" fmla="*/ 150395 w 998446"/>
            <a:gd name="connsiteY101" fmla="*/ 52731 h 879902"/>
            <a:gd name="connsiteX102" fmla="*/ 160421 w 998446"/>
            <a:gd name="connsiteY102" fmla="*/ 37692 h 879902"/>
            <a:gd name="connsiteX103" fmla="*/ 190500 w 998446"/>
            <a:gd name="connsiteY103" fmla="*/ 2599 h 879902"/>
            <a:gd name="connsiteX0" fmla="*/ 190500 w 998446"/>
            <a:gd name="connsiteY0" fmla="*/ 2599 h 879902"/>
            <a:gd name="connsiteX1" fmla="*/ 330869 w 998446"/>
            <a:gd name="connsiteY1" fmla="*/ 2599 h 879902"/>
            <a:gd name="connsiteX2" fmla="*/ 360948 w 998446"/>
            <a:gd name="connsiteY2" fmla="*/ 7613 h 879902"/>
            <a:gd name="connsiteX3" fmla="*/ 381000 w 998446"/>
            <a:gd name="connsiteY3" fmla="*/ 37692 h 879902"/>
            <a:gd name="connsiteX4" fmla="*/ 391027 w 998446"/>
            <a:gd name="connsiteY4" fmla="*/ 47718 h 879902"/>
            <a:gd name="connsiteX5" fmla="*/ 401053 w 998446"/>
            <a:gd name="connsiteY5" fmla="*/ 62757 h 879902"/>
            <a:gd name="connsiteX6" fmla="*/ 431132 w 998446"/>
            <a:gd name="connsiteY6" fmla="*/ 72784 h 879902"/>
            <a:gd name="connsiteX7" fmla="*/ 446171 w 998446"/>
            <a:gd name="connsiteY7" fmla="*/ 77797 h 879902"/>
            <a:gd name="connsiteX8" fmla="*/ 471237 w 998446"/>
            <a:gd name="connsiteY8" fmla="*/ 97849 h 879902"/>
            <a:gd name="connsiteX9" fmla="*/ 506329 w 998446"/>
            <a:gd name="connsiteY9" fmla="*/ 132942 h 879902"/>
            <a:gd name="connsiteX10" fmla="*/ 531395 w 998446"/>
            <a:gd name="connsiteY10" fmla="*/ 152994 h 879902"/>
            <a:gd name="connsiteX11" fmla="*/ 546435 w 998446"/>
            <a:gd name="connsiteY11" fmla="*/ 158007 h 879902"/>
            <a:gd name="connsiteX12" fmla="*/ 556461 w 998446"/>
            <a:gd name="connsiteY12" fmla="*/ 168034 h 879902"/>
            <a:gd name="connsiteX13" fmla="*/ 571500 w 998446"/>
            <a:gd name="connsiteY13" fmla="*/ 173047 h 879902"/>
            <a:gd name="connsiteX14" fmla="*/ 576513 w 998446"/>
            <a:gd name="connsiteY14" fmla="*/ 188086 h 879902"/>
            <a:gd name="connsiteX15" fmla="*/ 586540 w 998446"/>
            <a:gd name="connsiteY15" fmla="*/ 198113 h 879902"/>
            <a:gd name="connsiteX16" fmla="*/ 596566 w 998446"/>
            <a:gd name="connsiteY16" fmla="*/ 213152 h 879902"/>
            <a:gd name="connsiteX17" fmla="*/ 586540 w 998446"/>
            <a:gd name="connsiteY17" fmla="*/ 243231 h 879902"/>
            <a:gd name="connsiteX18" fmla="*/ 581527 w 998446"/>
            <a:gd name="connsiteY18" fmla="*/ 268297 h 879902"/>
            <a:gd name="connsiteX19" fmla="*/ 571500 w 998446"/>
            <a:gd name="connsiteY19" fmla="*/ 278323 h 879902"/>
            <a:gd name="connsiteX20" fmla="*/ 576513 w 998446"/>
            <a:gd name="connsiteY20" fmla="*/ 298376 h 879902"/>
            <a:gd name="connsiteX21" fmla="*/ 586540 w 998446"/>
            <a:gd name="connsiteY21" fmla="*/ 308402 h 879902"/>
            <a:gd name="connsiteX22" fmla="*/ 596566 w 998446"/>
            <a:gd name="connsiteY22" fmla="*/ 338481 h 879902"/>
            <a:gd name="connsiteX23" fmla="*/ 616619 w 998446"/>
            <a:gd name="connsiteY23" fmla="*/ 363547 h 879902"/>
            <a:gd name="connsiteX24" fmla="*/ 646698 w 998446"/>
            <a:gd name="connsiteY24" fmla="*/ 398639 h 879902"/>
            <a:gd name="connsiteX25" fmla="*/ 661737 w 998446"/>
            <a:gd name="connsiteY25" fmla="*/ 408665 h 879902"/>
            <a:gd name="connsiteX26" fmla="*/ 696829 w 998446"/>
            <a:gd name="connsiteY26" fmla="*/ 433731 h 879902"/>
            <a:gd name="connsiteX27" fmla="*/ 731921 w 998446"/>
            <a:gd name="connsiteY27" fmla="*/ 468823 h 879902"/>
            <a:gd name="connsiteX28" fmla="*/ 741948 w 998446"/>
            <a:gd name="connsiteY28" fmla="*/ 478849 h 879902"/>
            <a:gd name="connsiteX29" fmla="*/ 756987 w 998446"/>
            <a:gd name="connsiteY29" fmla="*/ 483863 h 879902"/>
            <a:gd name="connsiteX30" fmla="*/ 802106 w 998446"/>
            <a:gd name="connsiteY30" fmla="*/ 493889 h 879902"/>
            <a:gd name="connsiteX31" fmla="*/ 817145 w 998446"/>
            <a:gd name="connsiteY31" fmla="*/ 503915 h 879902"/>
            <a:gd name="connsiteX32" fmla="*/ 827171 w 998446"/>
            <a:gd name="connsiteY32" fmla="*/ 513942 h 879902"/>
            <a:gd name="connsiteX33" fmla="*/ 857250 w 998446"/>
            <a:gd name="connsiteY33" fmla="*/ 533994 h 879902"/>
            <a:gd name="connsiteX34" fmla="*/ 877303 w 998446"/>
            <a:gd name="connsiteY34" fmla="*/ 554047 h 879902"/>
            <a:gd name="connsiteX35" fmla="*/ 887329 w 998446"/>
            <a:gd name="connsiteY35" fmla="*/ 569086 h 879902"/>
            <a:gd name="connsiteX36" fmla="*/ 902369 w 998446"/>
            <a:gd name="connsiteY36" fmla="*/ 579113 h 879902"/>
            <a:gd name="connsiteX37" fmla="*/ 902369 w 998446"/>
            <a:gd name="connsiteY37" fmla="*/ 609192 h 879902"/>
            <a:gd name="connsiteX38" fmla="*/ 912395 w 998446"/>
            <a:gd name="connsiteY38" fmla="*/ 649297 h 879902"/>
            <a:gd name="connsiteX39" fmla="*/ 917408 w 998446"/>
            <a:gd name="connsiteY39" fmla="*/ 664336 h 879902"/>
            <a:gd name="connsiteX40" fmla="*/ 927435 w 998446"/>
            <a:gd name="connsiteY40" fmla="*/ 674363 h 879902"/>
            <a:gd name="connsiteX41" fmla="*/ 947487 w 998446"/>
            <a:gd name="connsiteY41" fmla="*/ 699428 h 879902"/>
            <a:gd name="connsiteX42" fmla="*/ 957513 w 998446"/>
            <a:gd name="connsiteY42" fmla="*/ 714468 h 879902"/>
            <a:gd name="connsiteX43" fmla="*/ 967540 w 998446"/>
            <a:gd name="connsiteY43" fmla="*/ 724494 h 879902"/>
            <a:gd name="connsiteX44" fmla="*/ 972553 w 998446"/>
            <a:gd name="connsiteY44" fmla="*/ 739534 h 879902"/>
            <a:gd name="connsiteX45" fmla="*/ 992606 w 998446"/>
            <a:gd name="connsiteY45" fmla="*/ 764599 h 879902"/>
            <a:gd name="connsiteX46" fmla="*/ 912395 w 998446"/>
            <a:gd name="connsiteY46" fmla="*/ 784652 h 879902"/>
            <a:gd name="connsiteX47" fmla="*/ 897356 w 998446"/>
            <a:gd name="connsiteY47" fmla="*/ 814731 h 879902"/>
            <a:gd name="connsiteX48" fmla="*/ 882316 w 998446"/>
            <a:gd name="connsiteY48" fmla="*/ 819744 h 879902"/>
            <a:gd name="connsiteX49" fmla="*/ 867277 w 998446"/>
            <a:gd name="connsiteY49" fmla="*/ 849823 h 879902"/>
            <a:gd name="connsiteX50" fmla="*/ 862263 w 998446"/>
            <a:gd name="connsiteY50" fmla="*/ 864863 h 879902"/>
            <a:gd name="connsiteX51" fmla="*/ 792079 w 998446"/>
            <a:gd name="connsiteY51" fmla="*/ 879902 h 879902"/>
            <a:gd name="connsiteX52" fmla="*/ 731921 w 998446"/>
            <a:gd name="connsiteY52" fmla="*/ 874889 h 879902"/>
            <a:gd name="connsiteX53" fmla="*/ 706856 w 998446"/>
            <a:gd name="connsiteY53" fmla="*/ 869876 h 879902"/>
            <a:gd name="connsiteX54" fmla="*/ 696829 w 998446"/>
            <a:gd name="connsiteY54" fmla="*/ 859849 h 879902"/>
            <a:gd name="connsiteX55" fmla="*/ 671763 w 998446"/>
            <a:gd name="connsiteY55" fmla="*/ 854836 h 879902"/>
            <a:gd name="connsiteX56" fmla="*/ 656724 w 998446"/>
            <a:gd name="connsiteY56" fmla="*/ 844810 h 879902"/>
            <a:gd name="connsiteX57" fmla="*/ 636671 w 998446"/>
            <a:gd name="connsiteY57" fmla="*/ 819744 h 879902"/>
            <a:gd name="connsiteX58" fmla="*/ 606592 w 998446"/>
            <a:gd name="connsiteY58" fmla="*/ 799692 h 879902"/>
            <a:gd name="connsiteX59" fmla="*/ 584395 w 998446"/>
            <a:gd name="connsiteY59" fmla="*/ 801571 h 879902"/>
            <a:gd name="connsiteX60" fmla="*/ 576513 w 998446"/>
            <a:gd name="connsiteY60" fmla="*/ 784652 h 879902"/>
            <a:gd name="connsiteX61" fmla="*/ 561474 w 998446"/>
            <a:gd name="connsiteY61" fmla="*/ 774626 h 879902"/>
            <a:gd name="connsiteX62" fmla="*/ 516356 w 998446"/>
            <a:gd name="connsiteY62" fmla="*/ 764599 h 879902"/>
            <a:gd name="connsiteX63" fmla="*/ 501316 w 998446"/>
            <a:gd name="connsiteY63" fmla="*/ 759586 h 879902"/>
            <a:gd name="connsiteX64" fmla="*/ 486277 w 998446"/>
            <a:gd name="connsiteY64" fmla="*/ 749560 h 879902"/>
            <a:gd name="connsiteX65" fmla="*/ 451185 w 998446"/>
            <a:gd name="connsiteY65" fmla="*/ 719481 h 879902"/>
            <a:gd name="connsiteX66" fmla="*/ 431132 w 998446"/>
            <a:gd name="connsiteY66" fmla="*/ 714468 h 879902"/>
            <a:gd name="connsiteX67" fmla="*/ 416092 w 998446"/>
            <a:gd name="connsiteY67" fmla="*/ 704442 h 879902"/>
            <a:gd name="connsiteX68" fmla="*/ 396040 w 998446"/>
            <a:gd name="connsiteY68" fmla="*/ 684389 h 879902"/>
            <a:gd name="connsiteX69" fmla="*/ 370974 w 998446"/>
            <a:gd name="connsiteY69" fmla="*/ 669349 h 879902"/>
            <a:gd name="connsiteX70" fmla="*/ 355935 w 998446"/>
            <a:gd name="connsiteY70" fmla="*/ 659323 h 879902"/>
            <a:gd name="connsiteX71" fmla="*/ 290763 w 998446"/>
            <a:gd name="connsiteY71" fmla="*/ 644284 h 879902"/>
            <a:gd name="connsiteX72" fmla="*/ 265698 w 998446"/>
            <a:gd name="connsiteY72" fmla="*/ 639270 h 879902"/>
            <a:gd name="connsiteX73" fmla="*/ 255671 w 998446"/>
            <a:gd name="connsiteY73" fmla="*/ 629244 h 879902"/>
            <a:gd name="connsiteX74" fmla="*/ 200527 w 998446"/>
            <a:gd name="connsiteY74" fmla="*/ 614205 h 879902"/>
            <a:gd name="connsiteX75" fmla="*/ 170448 w 998446"/>
            <a:gd name="connsiteY75" fmla="*/ 594152 h 879902"/>
            <a:gd name="connsiteX76" fmla="*/ 140369 w 998446"/>
            <a:gd name="connsiteY76" fmla="*/ 584126 h 879902"/>
            <a:gd name="connsiteX77" fmla="*/ 130342 w 998446"/>
            <a:gd name="connsiteY77" fmla="*/ 574099 h 879902"/>
            <a:gd name="connsiteX78" fmla="*/ 95250 w 998446"/>
            <a:gd name="connsiteY78" fmla="*/ 564073 h 879902"/>
            <a:gd name="connsiteX79" fmla="*/ 65171 w 998446"/>
            <a:gd name="connsiteY79" fmla="*/ 554047 h 879902"/>
            <a:gd name="connsiteX80" fmla="*/ 55145 w 998446"/>
            <a:gd name="connsiteY80" fmla="*/ 544020 h 879902"/>
            <a:gd name="connsiteX81" fmla="*/ 45119 w 998446"/>
            <a:gd name="connsiteY81" fmla="*/ 528981 h 879902"/>
            <a:gd name="connsiteX82" fmla="*/ 30079 w 998446"/>
            <a:gd name="connsiteY82" fmla="*/ 523968 h 879902"/>
            <a:gd name="connsiteX83" fmla="*/ 15040 w 998446"/>
            <a:gd name="connsiteY83" fmla="*/ 493889 h 879902"/>
            <a:gd name="connsiteX84" fmla="*/ 0 w 998446"/>
            <a:gd name="connsiteY84" fmla="*/ 443757 h 879902"/>
            <a:gd name="connsiteX85" fmla="*/ 15040 w 998446"/>
            <a:gd name="connsiteY85" fmla="*/ 408665 h 879902"/>
            <a:gd name="connsiteX86" fmla="*/ 45119 w 998446"/>
            <a:gd name="connsiteY86" fmla="*/ 398639 h 879902"/>
            <a:gd name="connsiteX87" fmla="*/ 60158 w 998446"/>
            <a:gd name="connsiteY87" fmla="*/ 388613 h 879902"/>
            <a:gd name="connsiteX88" fmla="*/ 90237 w 998446"/>
            <a:gd name="connsiteY88" fmla="*/ 373573 h 879902"/>
            <a:gd name="connsiteX89" fmla="*/ 100263 w 998446"/>
            <a:gd name="connsiteY89" fmla="*/ 358534 h 879902"/>
            <a:gd name="connsiteX90" fmla="*/ 130342 w 998446"/>
            <a:gd name="connsiteY90" fmla="*/ 338481 h 879902"/>
            <a:gd name="connsiteX91" fmla="*/ 140369 w 998446"/>
            <a:gd name="connsiteY91" fmla="*/ 328455 h 879902"/>
            <a:gd name="connsiteX92" fmla="*/ 145382 w 998446"/>
            <a:gd name="connsiteY92" fmla="*/ 313415 h 879902"/>
            <a:gd name="connsiteX93" fmla="*/ 155408 w 998446"/>
            <a:gd name="connsiteY93" fmla="*/ 298376 h 879902"/>
            <a:gd name="connsiteX94" fmla="*/ 165435 w 998446"/>
            <a:gd name="connsiteY94" fmla="*/ 268297 h 879902"/>
            <a:gd name="connsiteX95" fmla="*/ 155408 w 998446"/>
            <a:gd name="connsiteY95" fmla="*/ 188086 h 879902"/>
            <a:gd name="connsiteX96" fmla="*/ 145382 w 998446"/>
            <a:gd name="connsiteY96" fmla="*/ 152994 h 879902"/>
            <a:gd name="connsiteX97" fmla="*/ 135356 w 998446"/>
            <a:gd name="connsiteY97" fmla="*/ 137955 h 879902"/>
            <a:gd name="connsiteX98" fmla="*/ 125329 w 998446"/>
            <a:gd name="connsiteY98" fmla="*/ 107876 h 879902"/>
            <a:gd name="connsiteX99" fmla="*/ 130342 w 998446"/>
            <a:gd name="connsiteY99" fmla="*/ 92836 h 879902"/>
            <a:gd name="connsiteX100" fmla="*/ 140369 w 998446"/>
            <a:gd name="connsiteY100" fmla="*/ 82810 h 879902"/>
            <a:gd name="connsiteX101" fmla="*/ 150395 w 998446"/>
            <a:gd name="connsiteY101" fmla="*/ 52731 h 879902"/>
            <a:gd name="connsiteX102" fmla="*/ 160421 w 998446"/>
            <a:gd name="connsiteY102" fmla="*/ 37692 h 879902"/>
            <a:gd name="connsiteX103" fmla="*/ 190500 w 998446"/>
            <a:gd name="connsiteY103" fmla="*/ 2599 h 879902"/>
            <a:gd name="connsiteX0" fmla="*/ 190500 w 998446"/>
            <a:gd name="connsiteY0" fmla="*/ 2599 h 879902"/>
            <a:gd name="connsiteX1" fmla="*/ 330869 w 998446"/>
            <a:gd name="connsiteY1" fmla="*/ 2599 h 879902"/>
            <a:gd name="connsiteX2" fmla="*/ 360948 w 998446"/>
            <a:gd name="connsiteY2" fmla="*/ 7613 h 879902"/>
            <a:gd name="connsiteX3" fmla="*/ 381000 w 998446"/>
            <a:gd name="connsiteY3" fmla="*/ 37692 h 879902"/>
            <a:gd name="connsiteX4" fmla="*/ 391027 w 998446"/>
            <a:gd name="connsiteY4" fmla="*/ 47718 h 879902"/>
            <a:gd name="connsiteX5" fmla="*/ 401053 w 998446"/>
            <a:gd name="connsiteY5" fmla="*/ 62757 h 879902"/>
            <a:gd name="connsiteX6" fmla="*/ 431132 w 998446"/>
            <a:gd name="connsiteY6" fmla="*/ 72784 h 879902"/>
            <a:gd name="connsiteX7" fmla="*/ 446171 w 998446"/>
            <a:gd name="connsiteY7" fmla="*/ 77797 h 879902"/>
            <a:gd name="connsiteX8" fmla="*/ 471237 w 998446"/>
            <a:gd name="connsiteY8" fmla="*/ 97849 h 879902"/>
            <a:gd name="connsiteX9" fmla="*/ 506329 w 998446"/>
            <a:gd name="connsiteY9" fmla="*/ 132942 h 879902"/>
            <a:gd name="connsiteX10" fmla="*/ 531395 w 998446"/>
            <a:gd name="connsiteY10" fmla="*/ 152994 h 879902"/>
            <a:gd name="connsiteX11" fmla="*/ 546435 w 998446"/>
            <a:gd name="connsiteY11" fmla="*/ 158007 h 879902"/>
            <a:gd name="connsiteX12" fmla="*/ 556461 w 998446"/>
            <a:gd name="connsiteY12" fmla="*/ 168034 h 879902"/>
            <a:gd name="connsiteX13" fmla="*/ 571500 w 998446"/>
            <a:gd name="connsiteY13" fmla="*/ 173047 h 879902"/>
            <a:gd name="connsiteX14" fmla="*/ 576513 w 998446"/>
            <a:gd name="connsiteY14" fmla="*/ 188086 h 879902"/>
            <a:gd name="connsiteX15" fmla="*/ 586540 w 998446"/>
            <a:gd name="connsiteY15" fmla="*/ 198113 h 879902"/>
            <a:gd name="connsiteX16" fmla="*/ 596566 w 998446"/>
            <a:gd name="connsiteY16" fmla="*/ 213152 h 879902"/>
            <a:gd name="connsiteX17" fmla="*/ 586540 w 998446"/>
            <a:gd name="connsiteY17" fmla="*/ 243231 h 879902"/>
            <a:gd name="connsiteX18" fmla="*/ 581527 w 998446"/>
            <a:gd name="connsiteY18" fmla="*/ 268297 h 879902"/>
            <a:gd name="connsiteX19" fmla="*/ 571500 w 998446"/>
            <a:gd name="connsiteY19" fmla="*/ 278323 h 879902"/>
            <a:gd name="connsiteX20" fmla="*/ 576513 w 998446"/>
            <a:gd name="connsiteY20" fmla="*/ 298376 h 879902"/>
            <a:gd name="connsiteX21" fmla="*/ 586540 w 998446"/>
            <a:gd name="connsiteY21" fmla="*/ 308402 h 879902"/>
            <a:gd name="connsiteX22" fmla="*/ 596566 w 998446"/>
            <a:gd name="connsiteY22" fmla="*/ 338481 h 879902"/>
            <a:gd name="connsiteX23" fmla="*/ 616619 w 998446"/>
            <a:gd name="connsiteY23" fmla="*/ 363547 h 879902"/>
            <a:gd name="connsiteX24" fmla="*/ 646698 w 998446"/>
            <a:gd name="connsiteY24" fmla="*/ 398639 h 879902"/>
            <a:gd name="connsiteX25" fmla="*/ 661737 w 998446"/>
            <a:gd name="connsiteY25" fmla="*/ 408665 h 879902"/>
            <a:gd name="connsiteX26" fmla="*/ 696829 w 998446"/>
            <a:gd name="connsiteY26" fmla="*/ 433731 h 879902"/>
            <a:gd name="connsiteX27" fmla="*/ 731921 w 998446"/>
            <a:gd name="connsiteY27" fmla="*/ 468823 h 879902"/>
            <a:gd name="connsiteX28" fmla="*/ 741948 w 998446"/>
            <a:gd name="connsiteY28" fmla="*/ 478849 h 879902"/>
            <a:gd name="connsiteX29" fmla="*/ 756987 w 998446"/>
            <a:gd name="connsiteY29" fmla="*/ 483863 h 879902"/>
            <a:gd name="connsiteX30" fmla="*/ 802106 w 998446"/>
            <a:gd name="connsiteY30" fmla="*/ 493889 h 879902"/>
            <a:gd name="connsiteX31" fmla="*/ 817145 w 998446"/>
            <a:gd name="connsiteY31" fmla="*/ 503915 h 879902"/>
            <a:gd name="connsiteX32" fmla="*/ 827171 w 998446"/>
            <a:gd name="connsiteY32" fmla="*/ 513942 h 879902"/>
            <a:gd name="connsiteX33" fmla="*/ 857250 w 998446"/>
            <a:gd name="connsiteY33" fmla="*/ 533994 h 879902"/>
            <a:gd name="connsiteX34" fmla="*/ 877303 w 998446"/>
            <a:gd name="connsiteY34" fmla="*/ 554047 h 879902"/>
            <a:gd name="connsiteX35" fmla="*/ 887329 w 998446"/>
            <a:gd name="connsiteY35" fmla="*/ 569086 h 879902"/>
            <a:gd name="connsiteX36" fmla="*/ 902369 w 998446"/>
            <a:gd name="connsiteY36" fmla="*/ 579113 h 879902"/>
            <a:gd name="connsiteX37" fmla="*/ 902369 w 998446"/>
            <a:gd name="connsiteY37" fmla="*/ 609192 h 879902"/>
            <a:gd name="connsiteX38" fmla="*/ 912395 w 998446"/>
            <a:gd name="connsiteY38" fmla="*/ 649297 h 879902"/>
            <a:gd name="connsiteX39" fmla="*/ 917408 w 998446"/>
            <a:gd name="connsiteY39" fmla="*/ 664336 h 879902"/>
            <a:gd name="connsiteX40" fmla="*/ 927435 w 998446"/>
            <a:gd name="connsiteY40" fmla="*/ 674363 h 879902"/>
            <a:gd name="connsiteX41" fmla="*/ 947487 w 998446"/>
            <a:gd name="connsiteY41" fmla="*/ 699428 h 879902"/>
            <a:gd name="connsiteX42" fmla="*/ 957513 w 998446"/>
            <a:gd name="connsiteY42" fmla="*/ 714468 h 879902"/>
            <a:gd name="connsiteX43" fmla="*/ 967540 w 998446"/>
            <a:gd name="connsiteY43" fmla="*/ 724494 h 879902"/>
            <a:gd name="connsiteX44" fmla="*/ 972553 w 998446"/>
            <a:gd name="connsiteY44" fmla="*/ 739534 h 879902"/>
            <a:gd name="connsiteX45" fmla="*/ 992606 w 998446"/>
            <a:gd name="connsiteY45" fmla="*/ 764599 h 879902"/>
            <a:gd name="connsiteX46" fmla="*/ 912395 w 998446"/>
            <a:gd name="connsiteY46" fmla="*/ 784652 h 879902"/>
            <a:gd name="connsiteX47" fmla="*/ 897356 w 998446"/>
            <a:gd name="connsiteY47" fmla="*/ 814731 h 879902"/>
            <a:gd name="connsiteX48" fmla="*/ 882316 w 998446"/>
            <a:gd name="connsiteY48" fmla="*/ 819744 h 879902"/>
            <a:gd name="connsiteX49" fmla="*/ 867277 w 998446"/>
            <a:gd name="connsiteY49" fmla="*/ 849823 h 879902"/>
            <a:gd name="connsiteX50" fmla="*/ 862263 w 998446"/>
            <a:gd name="connsiteY50" fmla="*/ 864863 h 879902"/>
            <a:gd name="connsiteX51" fmla="*/ 792079 w 998446"/>
            <a:gd name="connsiteY51" fmla="*/ 879902 h 879902"/>
            <a:gd name="connsiteX52" fmla="*/ 731921 w 998446"/>
            <a:gd name="connsiteY52" fmla="*/ 874889 h 879902"/>
            <a:gd name="connsiteX53" fmla="*/ 706856 w 998446"/>
            <a:gd name="connsiteY53" fmla="*/ 869876 h 879902"/>
            <a:gd name="connsiteX54" fmla="*/ 696829 w 998446"/>
            <a:gd name="connsiteY54" fmla="*/ 859849 h 879902"/>
            <a:gd name="connsiteX55" fmla="*/ 671763 w 998446"/>
            <a:gd name="connsiteY55" fmla="*/ 854836 h 879902"/>
            <a:gd name="connsiteX56" fmla="*/ 656724 w 998446"/>
            <a:gd name="connsiteY56" fmla="*/ 844810 h 879902"/>
            <a:gd name="connsiteX57" fmla="*/ 636671 w 998446"/>
            <a:gd name="connsiteY57" fmla="*/ 819744 h 879902"/>
            <a:gd name="connsiteX58" fmla="*/ 606592 w 998446"/>
            <a:gd name="connsiteY58" fmla="*/ 799692 h 879902"/>
            <a:gd name="connsiteX59" fmla="*/ 584395 w 998446"/>
            <a:gd name="connsiteY59" fmla="*/ 801571 h 879902"/>
            <a:gd name="connsiteX60" fmla="*/ 559810 w 998446"/>
            <a:gd name="connsiteY60" fmla="*/ 789415 h 879902"/>
            <a:gd name="connsiteX61" fmla="*/ 561474 w 998446"/>
            <a:gd name="connsiteY61" fmla="*/ 774626 h 879902"/>
            <a:gd name="connsiteX62" fmla="*/ 516356 w 998446"/>
            <a:gd name="connsiteY62" fmla="*/ 764599 h 879902"/>
            <a:gd name="connsiteX63" fmla="*/ 501316 w 998446"/>
            <a:gd name="connsiteY63" fmla="*/ 759586 h 879902"/>
            <a:gd name="connsiteX64" fmla="*/ 486277 w 998446"/>
            <a:gd name="connsiteY64" fmla="*/ 749560 h 879902"/>
            <a:gd name="connsiteX65" fmla="*/ 451185 w 998446"/>
            <a:gd name="connsiteY65" fmla="*/ 719481 h 879902"/>
            <a:gd name="connsiteX66" fmla="*/ 431132 w 998446"/>
            <a:gd name="connsiteY66" fmla="*/ 714468 h 879902"/>
            <a:gd name="connsiteX67" fmla="*/ 416092 w 998446"/>
            <a:gd name="connsiteY67" fmla="*/ 704442 h 879902"/>
            <a:gd name="connsiteX68" fmla="*/ 396040 w 998446"/>
            <a:gd name="connsiteY68" fmla="*/ 684389 h 879902"/>
            <a:gd name="connsiteX69" fmla="*/ 370974 w 998446"/>
            <a:gd name="connsiteY69" fmla="*/ 669349 h 879902"/>
            <a:gd name="connsiteX70" fmla="*/ 355935 w 998446"/>
            <a:gd name="connsiteY70" fmla="*/ 659323 h 879902"/>
            <a:gd name="connsiteX71" fmla="*/ 290763 w 998446"/>
            <a:gd name="connsiteY71" fmla="*/ 644284 h 879902"/>
            <a:gd name="connsiteX72" fmla="*/ 265698 w 998446"/>
            <a:gd name="connsiteY72" fmla="*/ 639270 h 879902"/>
            <a:gd name="connsiteX73" fmla="*/ 255671 w 998446"/>
            <a:gd name="connsiteY73" fmla="*/ 629244 h 879902"/>
            <a:gd name="connsiteX74" fmla="*/ 200527 w 998446"/>
            <a:gd name="connsiteY74" fmla="*/ 614205 h 879902"/>
            <a:gd name="connsiteX75" fmla="*/ 170448 w 998446"/>
            <a:gd name="connsiteY75" fmla="*/ 594152 h 879902"/>
            <a:gd name="connsiteX76" fmla="*/ 140369 w 998446"/>
            <a:gd name="connsiteY76" fmla="*/ 584126 h 879902"/>
            <a:gd name="connsiteX77" fmla="*/ 130342 w 998446"/>
            <a:gd name="connsiteY77" fmla="*/ 574099 h 879902"/>
            <a:gd name="connsiteX78" fmla="*/ 95250 w 998446"/>
            <a:gd name="connsiteY78" fmla="*/ 564073 h 879902"/>
            <a:gd name="connsiteX79" fmla="*/ 65171 w 998446"/>
            <a:gd name="connsiteY79" fmla="*/ 554047 h 879902"/>
            <a:gd name="connsiteX80" fmla="*/ 55145 w 998446"/>
            <a:gd name="connsiteY80" fmla="*/ 544020 h 879902"/>
            <a:gd name="connsiteX81" fmla="*/ 45119 w 998446"/>
            <a:gd name="connsiteY81" fmla="*/ 528981 h 879902"/>
            <a:gd name="connsiteX82" fmla="*/ 30079 w 998446"/>
            <a:gd name="connsiteY82" fmla="*/ 523968 h 879902"/>
            <a:gd name="connsiteX83" fmla="*/ 15040 w 998446"/>
            <a:gd name="connsiteY83" fmla="*/ 493889 h 879902"/>
            <a:gd name="connsiteX84" fmla="*/ 0 w 998446"/>
            <a:gd name="connsiteY84" fmla="*/ 443757 h 879902"/>
            <a:gd name="connsiteX85" fmla="*/ 15040 w 998446"/>
            <a:gd name="connsiteY85" fmla="*/ 408665 h 879902"/>
            <a:gd name="connsiteX86" fmla="*/ 45119 w 998446"/>
            <a:gd name="connsiteY86" fmla="*/ 398639 h 879902"/>
            <a:gd name="connsiteX87" fmla="*/ 60158 w 998446"/>
            <a:gd name="connsiteY87" fmla="*/ 388613 h 879902"/>
            <a:gd name="connsiteX88" fmla="*/ 90237 w 998446"/>
            <a:gd name="connsiteY88" fmla="*/ 373573 h 879902"/>
            <a:gd name="connsiteX89" fmla="*/ 100263 w 998446"/>
            <a:gd name="connsiteY89" fmla="*/ 358534 h 879902"/>
            <a:gd name="connsiteX90" fmla="*/ 130342 w 998446"/>
            <a:gd name="connsiteY90" fmla="*/ 338481 h 879902"/>
            <a:gd name="connsiteX91" fmla="*/ 140369 w 998446"/>
            <a:gd name="connsiteY91" fmla="*/ 328455 h 879902"/>
            <a:gd name="connsiteX92" fmla="*/ 145382 w 998446"/>
            <a:gd name="connsiteY92" fmla="*/ 313415 h 879902"/>
            <a:gd name="connsiteX93" fmla="*/ 155408 w 998446"/>
            <a:gd name="connsiteY93" fmla="*/ 298376 h 879902"/>
            <a:gd name="connsiteX94" fmla="*/ 165435 w 998446"/>
            <a:gd name="connsiteY94" fmla="*/ 268297 h 879902"/>
            <a:gd name="connsiteX95" fmla="*/ 155408 w 998446"/>
            <a:gd name="connsiteY95" fmla="*/ 188086 h 879902"/>
            <a:gd name="connsiteX96" fmla="*/ 145382 w 998446"/>
            <a:gd name="connsiteY96" fmla="*/ 152994 h 879902"/>
            <a:gd name="connsiteX97" fmla="*/ 135356 w 998446"/>
            <a:gd name="connsiteY97" fmla="*/ 137955 h 879902"/>
            <a:gd name="connsiteX98" fmla="*/ 125329 w 998446"/>
            <a:gd name="connsiteY98" fmla="*/ 107876 h 879902"/>
            <a:gd name="connsiteX99" fmla="*/ 130342 w 998446"/>
            <a:gd name="connsiteY99" fmla="*/ 92836 h 879902"/>
            <a:gd name="connsiteX100" fmla="*/ 140369 w 998446"/>
            <a:gd name="connsiteY100" fmla="*/ 82810 h 879902"/>
            <a:gd name="connsiteX101" fmla="*/ 150395 w 998446"/>
            <a:gd name="connsiteY101" fmla="*/ 52731 h 879902"/>
            <a:gd name="connsiteX102" fmla="*/ 160421 w 998446"/>
            <a:gd name="connsiteY102" fmla="*/ 37692 h 879902"/>
            <a:gd name="connsiteX103" fmla="*/ 190500 w 998446"/>
            <a:gd name="connsiteY103" fmla="*/ 2599 h 879902"/>
            <a:gd name="connsiteX0" fmla="*/ 190500 w 998446"/>
            <a:gd name="connsiteY0" fmla="*/ 2599 h 879902"/>
            <a:gd name="connsiteX1" fmla="*/ 330869 w 998446"/>
            <a:gd name="connsiteY1" fmla="*/ 2599 h 879902"/>
            <a:gd name="connsiteX2" fmla="*/ 360948 w 998446"/>
            <a:gd name="connsiteY2" fmla="*/ 7613 h 879902"/>
            <a:gd name="connsiteX3" fmla="*/ 381000 w 998446"/>
            <a:gd name="connsiteY3" fmla="*/ 37692 h 879902"/>
            <a:gd name="connsiteX4" fmla="*/ 391027 w 998446"/>
            <a:gd name="connsiteY4" fmla="*/ 47718 h 879902"/>
            <a:gd name="connsiteX5" fmla="*/ 401053 w 998446"/>
            <a:gd name="connsiteY5" fmla="*/ 62757 h 879902"/>
            <a:gd name="connsiteX6" fmla="*/ 431132 w 998446"/>
            <a:gd name="connsiteY6" fmla="*/ 72784 h 879902"/>
            <a:gd name="connsiteX7" fmla="*/ 446171 w 998446"/>
            <a:gd name="connsiteY7" fmla="*/ 77797 h 879902"/>
            <a:gd name="connsiteX8" fmla="*/ 471237 w 998446"/>
            <a:gd name="connsiteY8" fmla="*/ 97849 h 879902"/>
            <a:gd name="connsiteX9" fmla="*/ 506329 w 998446"/>
            <a:gd name="connsiteY9" fmla="*/ 132942 h 879902"/>
            <a:gd name="connsiteX10" fmla="*/ 531395 w 998446"/>
            <a:gd name="connsiteY10" fmla="*/ 152994 h 879902"/>
            <a:gd name="connsiteX11" fmla="*/ 546435 w 998446"/>
            <a:gd name="connsiteY11" fmla="*/ 158007 h 879902"/>
            <a:gd name="connsiteX12" fmla="*/ 556461 w 998446"/>
            <a:gd name="connsiteY12" fmla="*/ 168034 h 879902"/>
            <a:gd name="connsiteX13" fmla="*/ 571500 w 998446"/>
            <a:gd name="connsiteY13" fmla="*/ 173047 h 879902"/>
            <a:gd name="connsiteX14" fmla="*/ 576513 w 998446"/>
            <a:gd name="connsiteY14" fmla="*/ 188086 h 879902"/>
            <a:gd name="connsiteX15" fmla="*/ 586540 w 998446"/>
            <a:gd name="connsiteY15" fmla="*/ 198113 h 879902"/>
            <a:gd name="connsiteX16" fmla="*/ 596566 w 998446"/>
            <a:gd name="connsiteY16" fmla="*/ 213152 h 879902"/>
            <a:gd name="connsiteX17" fmla="*/ 586540 w 998446"/>
            <a:gd name="connsiteY17" fmla="*/ 243231 h 879902"/>
            <a:gd name="connsiteX18" fmla="*/ 581527 w 998446"/>
            <a:gd name="connsiteY18" fmla="*/ 268297 h 879902"/>
            <a:gd name="connsiteX19" fmla="*/ 571500 w 998446"/>
            <a:gd name="connsiteY19" fmla="*/ 278323 h 879902"/>
            <a:gd name="connsiteX20" fmla="*/ 576513 w 998446"/>
            <a:gd name="connsiteY20" fmla="*/ 298376 h 879902"/>
            <a:gd name="connsiteX21" fmla="*/ 586540 w 998446"/>
            <a:gd name="connsiteY21" fmla="*/ 308402 h 879902"/>
            <a:gd name="connsiteX22" fmla="*/ 596566 w 998446"/>
            <a:gd name="connsiteY22" fmla="*/ 338481 h 879902"/>
            <a:gd name="connsiteX23" fmla="*/ 616619 w 998446"/>
            <a:gd name="connsiteY23" fmla="*/ 363547 h 879902"/>
            <a:gd name="connsiteX24" fmla="*/ 646698 w 998446"/>
            <a:gd name="connsiteY24" fmla="*/ 398639 h 879902"/>
            <a:gd name="connsiteX25" fmla="*/ 661737 w 998446"/>
            <a:gd name="connsiteY25" fmla="*/ 408665 h 879902"/>
            <a:gd name="connsiteX26" fmla="*/ 696829 w 998446"/>
            <a:gd name="connsiteY26" fmla="*/ 433731 h 879902"/>
            <a:gd name="connsiteX27" fmla="*/ 731921 w 998446"/>
            <a:gd name="connsiteY27" fmla="*/ 468823 h 879902"/>
            <a:gd name="connsiteX28" fmla="*/ 741948 w 998446"/>
            <a:gd name="connsiteY28" fmla="*/ 478849 h 879902"/>
            <a:gd name="connsiteX29" fmla="*/ 756987 w 998446"/>
            <a:gd name="connsiteY29" fmla="*/ 483863 h 879902"/>
            <a:gd name="connsiteX30" fmla="*/ 802106 w 998446"/>
            <a:gd name="connsiteY30" fmla="*/ 493889 h 879902"/>
            <a:gd name="connsiteX31" fmla="*/ 817145 w 998446"/>
            <a:gd name="connsiteY31" fmla="*/ 503915 h 879902"/>
            <a:gd name="connsiteX32" fmla="*/ 827171 w 998446"/>
            <a:gd name="connsiteY32" fmla="*/ 513942 h 879902"/>
            <a:gd name="connsiteX33" fmla="*/ 857250 w 998446"/>
            <a:gd name="connsiteY33" fmla="*/ 533994 h 879902"/>
            <a:gd name="connsiteX34" fmla="*/ 877303 w 998446"/>
            <a:gd name="connsiteY34" fmla="*/ 554047 h 879902"/>
            <a:gd name="connsiteX35" fmla="*/ 887329 w 998446"/>
            <a:gd name="connsiteY35" fmla="*/ 569086 h 879902"/>
            <a:gd name="connsiteX36" fmla="*/ 902369 w 998446"/>
            <a:gd name="connsiteY36" fmla="*/ 579113 h 879902"/>
            <a:gd name="connsiteX37" fmla="*/ 902369 w 998446"/>
            <a:gd name="connsiteY37" fmla="*/ 609192 h 879902"/>
            <a:gd name="connsiteX38" fmla="*/ 912395 w 998446"/>
            <a:gd name="connsiteY38" fmla="*/ 649297 h 879902"/>
            <a:gd name="connsiteX39" fmla="*/ 917408 w 998446"/>
            <a:gd name="connsiteY39" fmla="*/ 664336 h 879902"/>
            <a:gd name="connsiteX40" fmla="*/ 927435 w 998446"/>
            <a:gd name="connsiteY40" fmla="*/ 674363 h 879902"/>
            <a:gd name="connsiteX41" fmla="*/ 947487 w 998446"/>
            <a:gd name="connsiteY41" fmla="*/ 699428 h 879902"/>
            <a:gd name="connsiteX42" fmla="*/ 957513 w 998446"/>
            <a:gd name="connsiteY42" fmla="*/ 714468 h 879902"/>
            <a:gd name="connsiteX43" fmla="*/ 967540 w 998446"/>
            <a:gd name="connsiteY43" fmla="*/ 724494 h 879902"/>
            <a:gd name="connsiteX44" fmla="*/ 972553 w 998446"/>
            <a:gd name="connsiteY44" fmla="*/ 739534 h 879902"/>
            <a:gd name="connsiteX45" fmla="*/ 992606 w 998446"/>
            <a:gd name="connsiteY45" fmla="*/ 764599 h 879902"/>
            <a:gd name="connsiteX46" fmla="*/ 912395 w 998446"/>
            <a:gd name="connsiteY46" fmla="*/ 784652 h 879902"/>
            <a:gd name="connsiteX47" fmla="*/ 897356 w 998446"/>
            <a:gd name="connsiteY47" fmla="*/ 814731 h 879902"/>
            <a:gd name="connsiteX48" fmla="*/ 882316 w 998446"/>
            <a:gd name="connsiteY48" fmla="*/ 819744 h 879902"/>
            <a:gd name="connsiteX49" fmla="*/ 867277 w 998446"/>
            <a:gd name="connsiteY49" fmla="*/ 849823 h 879902"/>
            <a:gd name="connsiteX50" fmla="*/ 862263 w 998446"/>
            <a:gd name="connsiteY50" fmla="*/ 864863 h 879902"/>
            <a:gd name="connsiteX51" fmla="*/ 792079 w 998446"/>
            <a:gd name="connsiteY51" fmla="*/ 879902 h 879902"/>
            <a:gd name="connsiteX52" fmla="*/ 731921 w 998446"/>
            <a:gd name="connsiteY52" fmla="*/ 874889 h 879902"/>
            <a:gd name="connsiteX53" fmla="*/ 706856 w 998446"/>
            <a:gd name="connsiteY53" fmla="*/ 869876 h 879902"/>
            <a:gd name="connsiteX54" fmla="*/ 696829 w 998446"/>
            <a:gd name="connsiteY54" fmla="*/ 859849 h 879902"/>
            <a:gd name="connsiteX55" fmla="*/ 671763 w 998446"/>
            <a:gd name="connsiteY55" fmla="*/ 854836 h 879902"/>
            <a:gd name="connsiteX56" fmla="*/ 656724 w 998446"/>
            <a:gd name="connsiteY56" fmla="*/ 844810 h 879902"/>
            <a:gd name="connsiteX57" fmla="*/ 636671 w 998446"/>
            <a:gd name="connsiteY57" fmla="*/ 819744 h 879902"/>
            <a:gd name="connsiteX58" fmla="*/ 606592 w 998446"/>
            <a:gd name="connsiteY58" fmla="*/ 799692 h 879902"/>
            <a:gd name="connsiteX59" fmla="*/ 584395 w 998446"/>
            <a:gd name="connsiteY59" fmla="*/ 801571 h 879902"/>
            <a:gd name="connsiteX60" fmla="*/ 559810 w 998446"/>
            <a:gd name="connsiteY60" fmla="*/ 789415 h 879902"/>
            <a:gd name="connsiteX61" fmla="*/ 537615 w 998446"/>
            <a:gd name="connsiteY61" fmla="*/ 781769 h 879902"/>
            <a:gd name="connsiteX62" fmla="*/ 516356 w 998446"/>
            <a:gd name="connsiteY62" fmla="*/ 764599 h 879902"/>
            <a:gd name="connsiteX63" fmla="*/ 501316 w 998446"/>
            <a:gd name="connsiteY63" fmla="*/ 759586 h 879902"/>
            <a:gd name="connsiteX64" fmla="*/ 486277 w 998446"/>
            <a:gd name="connsiteY64" fmla="*/ 749560 h 879902"/>
            <a:gd name="connsiteX65" fmla="*/ 451185 w 998446"/>
            <a:gd name="connsiteY65" fmla="*/ 719481 h 879902"/>
            <a:gd name="connsiteX66" fmla="*/ 431132 w 998446"/>
            <a:gd name="connsiteY66" fmla="*/ 714468 h 879902"/>
            <a:gd name="connsiteX67" fmla="*/ 416092 w 998446"/>
            <a:gd name="connsiteY67" fmla="*/ 704442 h 879902"/>
            <a:gd name="connsiteX68" fmla="*/ 396040 w 998446"/>
            <a:gd name="connsiteY68" fmla="*/ 684389 h 879902"/>
            <a:gd name="connsiteX69" fmla="*/ 370974 w 998446"/>
            <a:gd name="connsiteY69" fmla="*/ 669349 h 879902"/>
            <a:gd name="connsiteX70" fmla="*/ 355935 w 998446"/>
            <a:gd name="connsiteY70" fmla="*/ 659323 h 879902"/>
            <a:gd name="connsiteX71" fmla="*/ 290763 w 998446"/>
            <a:gd name="connsiteY71" fmla="*/ 644284 h 879902"/>
            <a:gd name="connsiteX72" fmla="*/ 265698 w 998446"/>
            <a:gd name="connsiteY72" fmla="*/ 639270 h 879902"/>
            <a:gd name="connsiteX73" fmla="*/ 255671 w 998446"/>
            <a:gd name="connsiteY73" fmla="*/ 629244 h 879902"/>
            <a:gd name="connsiteX74" fmla="*/ 200527 w 998446"/>
            <a:gd name="connsiteY74" fmla="*/ 614205 h 879902"/>
            <a:gd name="connsiteX75" fmla="*/ 170448 w 998446"/>
            <a:gd name="connsiteY75" fmla="*/ 594152 h 879902"/>
            <a:gd name="connsiteX76" fmla="*/ 140369 w 998446"/>
            <a:gd name="connsiteY76" fmla="*/ 584126 h 879902"/>
            <a:gd name="connsiteX77" fmla="*/ 130342 w 998446"/>
            <a:gd name="connsiteY77" fmla="*/ 574099 h 879902"/>
            <a:gd name="connsiteX78" fmla="*/ 95250 w 998446"/>
            <a:gd name="connsiteY78" fmla="*/ 564073 h 879902"/>
            <a:gd name="connsiteX79" fmla="*/ 65171 w 998446"/>
            <a:gd name="connsiteY79" fmla="*/ 554047 h 879902"/>
            <a:gd name="connsiteX80" fmla="*/ 55145 w 998446"/>
            <a:gd name="connsiteY80" fmla="*/ 544020 h 879902"/>
            <a:gd name="connsiteX81" fmla="*/ 45119 w 998446"/>
            <a:gd name="connsiteY81" fmla="*/ 528981 h 879902"/>
            <a:gd name="connsiteX82" fmla="*/ 30079 w 998446"/>
            <a:gd name="connsiteY82" fmla="*/ 523968 h 879902"/>
            <a:gd name="connsiteX83" fmla="*/ 15040 w 998446"/>
            <a:gd name="connsiteY83" fmla="*/ 493889 h 879902"/>
            <a:gd name="connsiteX84" fmla="*/ 0 w 998446"/>
            <a:gd name="connsiteY84" fmla="*/ 443757 h 879902"/>
            <a:gd name="connsiteX85" fmla="*/ 15040 w 998446"/>
            <a:gd name="connsiteY85" fmla="*/ 408665 h 879902"/>
            <a:gd name="connsiteX86" fmla="*/ 45119 w 998446"/>
            <a:gd name="connsiteY86" fmla="*/ 398639 h 879902"/>
            <a:gd name="connsiteX87" fmla="*/ 60158 w 998446"/>
            <a:gd name="connsiteY87" fmla="*/ 388613 h 879902"/>
            <a:gd name="connsiteX88" fmla="*/ 90237 w 998446"/>
            <a:gd name="connsiteY88" fmla="*/ 373573 h 879902"/>
            <a:gd name="connsiteX89" fmla="*/ 100263 w 998446"/>
            <a:gd name="connsiteY89" fmla="*/ 358534 h 879902"/>
            <a:gd name="connsiteX90" fmla="*/ 130342 w 998446"/>
            <a:gd name="connsiteY90" fmla="*/ 338481 h 879902"/>
            <a:gd name="connsiteX91" fmla="*/ 140369 w 998446"/>
            <a:gd name="connsiteY91" fmla="*/ 328455 h 879902"/>
            <a:gd name="connsiteX92" fmla="*/ 145382 w 998446"/>
            <a:gd name="connsiteY92" fmla="*/ 313415 h 879902"/>
            <a:gd name="connsiteX93" fmla="*/ 155408 w 998446"/>
            <a:gd name="connsiteY93" fmla="*/ 298376 h 879902"/>
            <a:gd name="connsiteX94" fmla="*/ 165435 w 998446"/>
            <a:gd name="connsiteY94" fmla="*/ 268297 h 879902"/>
            <a:gd name="connsiteX95" fmla="*/ 155408 w 998446"/>
            <a:gd name="connsiteY95" fmla="*/ 188086 h 879902"/>
            <a:gd name="connsiteX96" fmla="*/ 145382 w 998446"/>
            <a:gd name="connsiteY96" fmla="*/ 152994 h 879902"/>
            <a:gd name="connsiteX97" fmla="*/ 135356 w 998446"/>
            <a:gd name="connsiteY97" fmla="*/ 137955 h 879902"/>
            <a:gd name="connsiteX98" fmla="*/ 125329 w 998446"/>
            <a:gd name="connsiteY98" fmla="*/ 107876 h 879902"/>
            <a:gd name="connsiteX99" fmla="*/ 130342 w 998446"/>
            <a:gd name="connsiteY99" fmla="*/ 92836 h 879902"/>
            <a:gd name="connsiteX100" fmla="*/ 140369 w 998446"/>
            <a:gd name="connsiteY100" fmla="*/ 82810 h 879902"/>
            <a:gd name="connsiteX101" fmla="*/ 150395 w 998446"/>
            <a:gd name="connsiteY101" fmla="*/ 52731 h 879902"/>
            <a:gd name="connsiteX102" fmla="*/ 160421 w 998446"/>
            <a:gd name="connsiteY102" fmla="*/ 37692 h 879902"/>
            <a:gd name="connsiteX103" fmla="*/ 190500 w 998446"/>
            <a:gd name="connsiteY103" fmla="*/ 2599 h 879902"/>
            <a:gd name="connsiteX0" fmla="*/ 190500 w 998446"/>
            <a:gd name="connsiteY0" fmla="*/ 2599 h 879902"/>
            <a:gd name="connsiteX1" fmla="*/ 330869 w 998446"/>
            <a:gd name="connsiteY1" fmla="*/ 2599 h 879902"/>
            <a:gd name="connsiteX2" fmla="*/ 360948 w 998446"/>
            <a:gd name="connsiteY2" fmla="*/ 7613 h 879902"/>
            <a:gd name="connsiteX3" fmla="*/ 381000 w 998446"/>
            <a:gd name="connsiteY3" fmla="*/ 37692 h 879902"/>
            <a:gd name="connsiteX4" fmla="*/ 391027 w 998446"/>
            <a:gd name="connsiteY4" fmla="*/ 47718 h 879902"/>
            <a:gd name="connsiteX5" fmla="*/ 401053 w 998446"/>
            <a:gd name="connsiteY5" fmla="*/ 62757 h 879902"/>
            <a:gd name="connsiteX6" fmla="*/ 431132 w 998446"/>
            <a:gd name="connsiteY6" fmla="*/ 72784 h 879902"/>
            <a:gd name="connsiteX7" fmla="*/ 446171 w 998446"/>
            <a:gd name="connsiteY7" fmla="*/ 77797 h 879902"/>
            <a:gd name="connsiteX8" fmla="*/ 471237 w 998446"/>
            <a:gd name="connsiteY8" fmla="*/ 97849 h 879902"/>
            <a:gd name="connsiteX9" fmla="*/ 506329 w 998446"/>
            <a:gd name="connsiteY9" fmla="*/ 132942 h 879902"/>
            <a:gd name="connsiteX10" fmla="*/ 531395 w 998446"/>
            <a:gd name="connsiteY10" fmla="*/ 152994 h 879902"/>
            <a:gd name="connsiteX11" fmla="*/ 546435 w 998446"/>
            <a:gd name="connsiteY11" fmla="*/ 158007 h 879902"/>
            <a:gd name="connsiteX12" fmla="*/ 556461 w 998446"/>
            <a:gd name="connsiteY12" fmla="*/ 168034 h 879902"/>
            <a:gd name="connsiteX13" fmla="*/ 571500 w 998446"/>
            <a:gd name="connsiteY13" fmla="*/ 173047 h 879902"/>
            <a:gd name="connsiteX14" fmla="*/ 576513 w 998446"/>
            <a:gd name="connsiteY14" fmla="*/ 188086 h 879902"/>
            <a:gd name="connsiteX15" fmla="*/ 586540 w 998446"/>
            <a:gd name="connsiteY15" fmla="*/ 198113 h 879902"/>
            <a:gd name="connsiteX16" fmla="*/ 596566 w 998446"/>
            <a:gd name="connsiteY16" fmla="*/ 213152 h 879902"/>
            <a:gd name="connsiteX17" fmla="*/ 586540 w 998446"/>
            <a:gd name="connsiteY17" fmla="*/ 243231 h 879902"/>
            <a:gd name="connsiteX18" fmla="*/ 581527 w 998446"/>
            <a:gd name="connsiteY18" fmla="*/ 268297 h 879902"/>
            <a:gd name="connsiteX19" fmla="*/ 571500 w 998446"/>
            <a:gd name="connsiteY19" fmla="*/ 278323 h 879902"/>
            <a:gd name="connsiteX20" fmla="*/ 576513 w 998446"/>
            <a:gd name="connsiteY20" fmla="*/ 298376 h 879902"/>
            <a:gd name="connsiteX21" fmla="*/ 586540 w 998446"/>
            <a:gd name="connsiteY21" fmla="*/ 308402 h 879902"/>
            <a:gd name="connsiteX22" fmla="*/ 596566 w 998446"/>
            <a:gd name="connsiteY22" fmla="*/ 338481 h 879902"/>
            <a:gd name="connsiteX23" fmla="*/ 616619 w 998446"/>
            <a:gd name="connsiteY23" fmla="*/ 363547 h 879902"/>
            <a:gd name="connsiteX24" fmla="*/ 646698 w 998446"/>
            <a:gd name="connsiteY24" fmla="*/ 398639 h 879902"/>
            <a:gd name="connsiteX25" fmla="*/ 661737 w 998446"/>
            <a:gd name="connsiteY25" fmla="*/ 408665 h 879902"/>
            <a:gd name="connsiteX26" fmla="*/ 696829 w 998446"/>
            <a:gd name="connsiteY26" fmla="*/ 433731 h 879902"/>
            <a:gd name="connsiteX27" fmla="*/ 731921 w 998446"/>
            <a:gd name="connsiteY27" fmla="*/ 468823 h 879902"/>
            <a:gd name="connsiteX28" fmla="*/ 741948 w 998446"/>
            <a:gd name="connsiteY28" fmla="*/ 478849 h 879902"/>
            <a:gd name="connsiteX29" fmla="*/ 756987 w 998446"/>
            <a:gd name="connsiteY29" fmla="*/ 483863 h 879902"/>
            <a:gd name="connsiteX30" fmla="*/ 802106 w 998446"/>
            <a:gd name="connsiteY30" fmla="*/ 493889 h 879902"/>
            <a:gd name="connsiteX31" fmla="*/ 817145 w 998446"/>
            <a:gd name="connsiteY31" fmla="*/ 503915 h 879902"/>
            <a:gd name="connsiteX32" fmla="*/ 827171 w 998446"/>
            <a:gd name="connsiteY32" fmla="*/ 513942 h 879902"/>
            <a:gd name="connsiteX33" fmla="*/ 857250 w 998446"/>
            <a:gd name="connsiteY33" fmla="*/ 533994 h 879902"/>
            <a:gd name="connsiteX34" fmla="*/ 877303 w 998446"/>
            <a:gd name="connsiteY34" fmla="*/ 554047 h 879902"/>
            <a:gd name="connsiteX35" fmla="*/ 887329 w 998446"/>
            <a:gd name="connsiteY35" fmla="*/ 569086 h 879902"/>
            <a:gd name="connsiteX36" fmla="*/ 902369 w 998446"/>
            <a:gd name="connsiteY36" fmla="*/ 579113 h 879902"/>
            <a:gd name="connsiteX37" fmla="*/ 902369 w 998446"/>
            <a:gd name="connsiteY37" fmla="*/ 609192 h 879902"/>
            <a:gd name="connsiteX38" fmla="*/ 912395 w 998446"/>
            <a:gd name="connsiteY38" fmla="*/ 649297 h 879902"/>
            <a:gd name="connsiteX39" fmla="*/ 917408 w 998446"/>
            <a:gd name="connsiteY39" fmla="*/ 664336 h 879902"/>
            <a:gd name="connsiteX40" fmla="*/ 927435 w 998446"/>
            <a:gd name="connsiteY40" fmla="*/ 674363 h 879902"/>
            <a:gd name="connsiteX41" fmla="*/ 947487 w 998446"/>
            <a:gd name="connsiteY41" fmla="*/ 699428 h 879902"/>
            <a:gd name="connsiteX42" fmla="*/ 957513 w 998446"/>
            <a:gd name="connsiteY42" fmla="*/ 714468 h 879902"/>
            <a:gd name="connsiteX43" fmla="*/ 967540 w 998446"/>
            <a:gd name="connsiteY43" fmla="*/ 724494 h 879902"/>
            <a:gd name="connsiteX44" fmla="*/ 972553 w 998446"/>
            <a:gd name="connsiteY44" fmla="*/ 739534 h 879902"/>
            <a:gd name="connsiteX45" fmla="*/ 992606 w 998446"/>
            <a:gd name="connsiteY45" fmla="*/ 764599 h 879902"/>
            <a:gd name="connsiteX46" fmla="*/ 912395 w 998446"/>
            <a:gd name="connsiteY46" fmla="*/ 784652 h 879902"/>
            <a:gd name="connsiteX47" fmla="*/ 897356 w 998446"/>
            <a:gd name="connsiteY47" fmla="*/ 814731 h 879902"/>
            <a:gd name="connsiteX48" fmla="*/ 882316 w 998446"/>
            <a:gd name="connsiteY48" fmla="*/ 819744 h 879902"/>
            <a:gd name="connsiteX49" fmla="*/ 867277 w 998446"/>
            <a:gd name="connsiteY49" fmla="*/ 849823 h 879902"/>
            <a:gd name="connsiteX50" fmla="*/ 862263 w 998446"/>
            <a:gd name="connsiteY50" fmla="*/ 864863 h 879902"/>
            <a:gd name="connsiteX51" fmla="*/ 792079 w 998446"/>
            <a:gd name="connsiteY51" fmla="*/ 879902 h 879902"/>
            <a:gd name="connsiteX52" fmla="*/ 731921 w 998446"/>
            <a:gd name="connsiteY52" fmla="*/ 874889 h 879902"/>
            <a:gd name="connsiteX53" fmla="*/ 706856 w 998446"/>
            <a:gd name="connsiteY53" fmla="*/ 869876 h 879902"/>
            <a:gd name="connsiteX54" fmla="*/ 696829 w 998446"/>
            <a:gd name="connsiteY54" fmla="*/ 859849 h 879902"/>
            <a:gd name="connsiteX55" fmla="*/ 671763 w 998446"/>
            <a:gd name="connsiteY55" fmla="*/ 854836 h 879902"/>
            <a:gd name="connsiteX56" fmla="*/ 656724 w 998446"/>
            <a:gd name="connsiteY56" fmla="*/ 844810 h 879902"/>
            <a:gd name="connsiteX57" fmla="*/ 629513 w 998446"/>
            <a:gd name="connsiteY57" fmla="*/ 831650 h 879902"/>
            <a:gd name="connsiteX58" fmla="*/ 606592 w 998446"/>
            <a:gd name="connsiteY58" fmla="*/ 799692 h 879902"/>
            <a:gd name="connsiteX59" fmla="*/ 584395 w 998446"/>
            <a:gd name="connsiteY59" fmla="*/ 801571 h 879902"/>
            <a:gd name="connsiteX60" fmla="*/ 559810 w 998446"/>
            <a:gd name="connsiteY60" fmla="*/ 789415 h 879902"/>
            <a:gd name="connsiteX61" fmla="*/ 537615 w 998446"/>
            <a:gd name="connsiteY61" fmla="*/ 781769 h 879902"/>
            <a:gd name="connsiteX62" fmla="*/ 516356 w 998446"/>
            <a:gd name="connsiteY62" fmla="*/ 764599 h 879902"/>
            <a:gd name="connsiteX63" fmla="*/ 501316 w 998446"/>
            <a:gd name="connsiteY63" fmla="*/ 759586 h 879902"/>
            <a:gd name="connsiteX64" fmla="*/ 486277 w 998446"/>
            <a:gd name="connsiteY64" fmla="*/ 749560 h 879902"/>
            <a:gd name="connsiteX65" fmla="*/ 451185 w 998446"/>
            <a:gd name="connsiteY65" fmla="*/ 719481 h 879902"/>
            <a:gd name="connsiteX66" fmla="*/ 431132 w 998446"/>
            <a:gd name="connsiteY66" fmla="*/ 714468 h 879902"/>
            <a:gd name="connsiteX67" fmla="*/ 416092 w 998446"/>
            <a:gd name="connsiteY67" fmla="*/ 704442 h 879902"/>
            <a:gd name="connsiteX68" fmla="*/ 396040 w 998446"/>
            <a:gd name="connsiteY68" fmla="*/ 684389 h 879902"/>
            <a:gd name="connsiteX69" fmla="*/ 370974 w 998446"/>
            <a:gd name="connsiteY69" fmla="*/ 669349 h 879902"/>
            <a:gd name="connsiteX70" fmla="*/ 355935 w 998446"/>
            <a:gd name="connsiteY70" fmla="*/ 659323 h 879902"/>
            <a:gd name="connsiteX71" fmla="*/ 290763 w 998446"/>
            <a:gd name="connsiteY71" fmla="*/ 644284 h 879902"/>
            <a:gd name="connsiteX72" fmla="*/ 265698 w 998446"/>
            <a:gd name="connsiteY72" fmla="*/ 639270 h 879902"/>
            <a:gd name="connsiteX73" fmla="*/ 255671 w 998446"/>
            <a:gd name="connsiteY73" fmla="*/ 629244 h 879902"/>
            <a:gd name="connsiteX74" fmla="*/ 200527 w 998446"/>
            <a:gd name="connsiteY74" fmla="*/ 614205 h 879902"/>
            <a:gd name="connsiteX75" fmla="*/ 170448 w 998446"/>
            <a:gd name="connsiteY75" fmla="*/ 594152 h 879902"/>
            <a:gd name="connsiteX76" fmla="*/ 140369 w 998446"/>
            <a:gd name="connsiteY76" fmla="*/ 584126 h 879902"/>
            <a:gd name="connsiteX77" fmla="*/ 130342 w 998446"/>
            <a:gd name="connsiteY77" fmla="*/ 574099 h 879902"/>
            <a:gd name="connsiteX78" fmla="*/ 95250 w 998446"/>
            <a:gd name="connsiteY78" fmla="*/ 564073 h 879902"/>
            <a:gd name="connsiteX79" fmla="*/ 65171 w 998446"/>
            <a:gd name="connsiteY79" fmla="*/ 554047 h 879902"/>
            <a:gd name="connsiteX80" fmla="*/ 55145 w 998446"/>
            <a:gd name="connsiteY80" fmla="*/ 544020 h 879902"/>
            <a:gd name="connsiteX81" fmla="*/ 45119 w 998446"/>
            <a:gd name="connsiteY81" fmla="*/ 528981 h 879902"/>
            <a:gd name="connsiteX82" fmla="*/ 30079 w 998446"/>
            <a:gd name="connsiteY82" fmla="*/ 523968 h 879902"/>
            <a:gd name="connsiteX83" fmla="*/ 15040 w 998446"/>
            <a:gd name="connsiteY83" fmla="*/ 493889 h 879902"/>
            <a:gd name="connsiteX84" fmla="*/ 0 w 998446"/>
            <a:gd name="connsiteY84" fmla="*/ 443757 h 879902"/>
            <a:gd name="connsiteX85" fmla="*/ 15040 w 998446"/>
            <a:gd name="connsiteY85" fmla="*/ 408665 h 879902"/>
            <a:gd name="connsiteX86" fmla="*/ 45119 w 998446"/>
            <a:gd name="connsiteY86" fmla="*/ 398639 h 879902"/>
            <a:gd name="connsiteX87" fmla="*/ 60158 w 998446"/>
            <a:gd name="connsiteY87" fmla="*/ 388613 h 879902"/>
            <a:gd name="connsiteX88" fmla="*/ 90237 w 998446"/>
            <a:gd name="connsiteY88" fmla="*/ 373573 h 879902"/>
            <a:gd name="connsiteX89" fmla="*/ 100263 w 998446"/>
            <a:gd name="connsiteY89" fmla="*/ 358534 h 879902"/>
            <a:gd name="connsiteX90" fmla="*/ 130342 w 998446"/>
            <a:gd name="connsiteY90" fmla="*/ 338481 h 879902"/>
            <a:gd name="connsiteX91" fmla="*/ 140369 w 998446"/>
            <a:gd name="connsiteY91" fmla="*/ 328455 h 879902"/>
            <a:gd name="connsiteX92" fmla="*/ 145382 w 998446"/>
            <a:gd name="connsiteY92" fmla="*/ 313415 h 879902"/>
            <a:gd name="connsiteX93" fmla="*/ 155408 w 998446"/>
            <a:gd name="connsiteY93" fmla="*/ 298376 h 879902"/>
            <a:gd name="connsiteX94" fmla="*/ 165435 w 998446"/>
            <a:gd name="connsiteY94" fmla="*/ 268297 h 879902"/>
            <a:gd name="connsiteX95" fmla="*/ 155408 w 998446"/>
            <a:gd name="connsiteY95" fmla="*/ 188086 h 879902"/>
            <a:gd name="connsiteX96" fmla="*/ 145382 w 998446"/>
            <a:gd name="connsiteY96" fmla="*/ 152994 h 879902"/>
            <a:gd name="connsiteX97" fmla="*/ 135356 w 998446"/>
            <a:gd name="connsiteY97" fmla="*/ 137955 h 879902"/>
            <a:gd name="connsiteX98" fmla="*/ 125329 w 998446"/>
            <a:gd name="connsiteY98" fmla="*/ 107876 h 879902"/>
            <a:gd name="connsiteX99" fmla="*/ 130342 w 998446"/>
            <a:gd name="connsiteY99" fmla="*/ 92836 h 879902"/>
            <a:gd name="connsiteX100" fmla="*/ 140369 w 998446"/>
            <a:gd name="connsiteY100" fmla="*/ 82810 h 879902"/>
            <a:gd name="connsiteX101" fmla="*/ 150395 w 998446"/>
            <a:gd name="connsiteY101" fmla="*/ 52731 h 879902"/>
            <a:gd name="connsiteX102" fmla="*/ 160421 w 998446"/>
            <a:gd name="connsiteY102" fmla="*/ 37692 h 879902"/>
            <a:gd name="connsiteX103" fmla="*/ 190500 w 998446"/>
            <a:gd name="connsiteY103" fmla="*/ 2599 h 879902"/>
            <a:gd name="connsiteX0" fmla="*/ 190500 w 998446"/>
            <a:gd name="connsiteY0" fmla="*/ 2599 h 879902"/>
            <a:gd name="connsiteX1" fmla="*/ 330869 w 998446"/>
            <a:gd name="connsiteY1" fmla="*/ 2599 h 879902"/>
            <a:gd name="connsiteX2" fmla="*/ 360948 w 998446"/>
            <a:gd name="connsiteY2" fmla="*/ 7613 h 879902"/>
            <a:gd name="connsiteX3" fmla="*/ 381000 w 998446"/>
            <a:gd name="connsiteY3" fmla="*/ 37692 h 879902"/>
            <a:gd name="connsiteX4" fmla="*/ 391027 w 998446"/>
            <a:gd name="connsiteY4" fmla="*/ 47718 h 879902"/>
            <a:gd name="connsiteX5" fmla="*/ 401053 w 998446"/>
            <a:gd name="connsiteY5" fmla="*/ 62757 h 879902"/>
            <a:gd name="connsiteX6" fmla="*/ 431132 w 998446"/>
            <a:gd name="connsiteY6" fmla="*/ 72784 h 879902"/>
            <a:gd name="connsiteX7" fmla="*/ 446171 w 998446"/>
            <a:gd name="connsiteY7" fmla="*/ 77797 h 879902"/>
            <a:gd name="connsiteX8" fmla="*/ 471237 w 998446"/>
            <a:gd name="connsiteY8" fmla="*/ 97849 h 879902"/>
            <a:gd name="connsiteX9" fmla="*/ 506329 w 998446"/>
            <a:gd name="connsiteY9" fmla="*/ 132942 h 879902"/>
            <a:gd name="connsiteX10" fmla="*/ 531395 w 998446"/>
            <a:gd name="connsiteY10" fmla="*/ 152994 h 879902"/>
            <a:gd name="connsiteX11" fmla="*/ 546435 w 998446"/>
            <a:gd name="connsiteY11" fmla="*/ 158007 h 879902"/>
            <a:gd name="connsiteX12" fmla="*/ 556461 w 998446"/>
            <a:gd name="connsiteY12" fmla="*/ 168034 h 879902"/>
            <a:gd name="connsiteX13" fmla="*/ 571500 w 998446"/>
            <a:gd name="connsiteY13" fmla="*/ 173047 h 879902"/>
            <a:gd name="connsiteX14" fmla="*/ 576513 w 998446"/>
            <a:gd name="connsiteY14" fmla="*/ 188086 h 879902"/>
            <a:gd name="connsiteX15" fmla="*/ 586540 w 998446"/>
            <a:gd name="connsiteY15" fmla="*/ 198113 h 879902"/>
            <a:gd name="connsiteX16" fmla="*/ 596566 w 998446"/>
            <a:gd name="connsiteY16" fmla="*/ 213152 h 879902"/>
            <a:gd name="connsiteX17" fmla="*/ 586540 w 998446"/>
            <a:gd name="connsiteY17" fmla="*/ 243231 h 879902"/>
            <a:gd name="connsiteX18" fmla="*/ 581527 w 998446"/>
            <a:gd name="connsiteY18" fmla="*/ 268297 h 879902"/>
            <a:gd name="connsiteX19" fmla="*/ 571500 w 998446"/>
            <a:gd name="connsiteY19" fmla="*/ 278323 h 879902"/>
            <a:gd name="connsiteX20" fmla="*/ 576513 w 998446"/>
            <a:gd name="connsiteY20" fmla="*/ 298376 h 879902"/>
            <a:gd name="connsiteX21" fmla="*/ 586540 w 998446"/>
            <a:gd name="connsiteY21" fmla="*/ 308402 h 879902"/>
            <a:gd name="connsiteX22" fmla="*/ 596566 w 998446"/>
            <a:gd name="connsiteY22" fmla="*/ 338481 h 879902"/>
            <a:gd name="connsiteX23" fmla="*/ 616619 w 998446"/>
            <a:gd name="connsiteY23" fmla="*/ 363547 h 879902"/>
            <a:gd name="connsiteX24" fmla="*/ 646698 w 998446"/>
            <a:gd name="connsiteY24" fmla="*/ 398639 h 879902"/>
            <a:gd name="connsiteX25" fmla="*/ 661737 w 998446"/>
            <a:gd name="connsiteY25" fmla="*/ 408665 h 879902"/>
            <a:gd name="connsiteX26" fmla="*/ 696829 w 998446"/>
            <a:gd name="connsiteY26" fmla="*/ 433731 h 879902"/>
            <a:gd name="connsiteX27" fmla="*/ 731921 w 998446"/>
            <a:gd name="connsiteY27" fmla="*/ 468823 h 879902"/>
            <a:gd name="connsiteX28" fmla="*/ 741948 w 998446"/>
            <a:gd name="connsiteY28" fmla="*/ 478849 h 879902"/>
            <a:gd name="connsiteX29" fmla="*/ 756987 w 998446"/>
            <a:gd name="connsiteY29" fmla="*/ 483863 h 879902"/>
            <a:gd name="connsiteX30" fmla="*/ 802106 w 998446"/>
            <a:gd name="connsiteY30" fmla="*/ 493889 h 879902"/>
            <a:gd name="connsiteX31" fmla="*/ 817145 w 998446"/>
            <a:gd name="connsiteY31" fmla="*/ 503915 h 879902"/>
            <a:gd name="connsiteX32" fmla="*/ 827171 w 998446"/>
            <a:gd name="connsiteY32" fmla="*/ 513942 h 879902"/>
            <a:gd name="connsiteX33" fmla="*/ 857250 w 998446"/>
            <a:gd name="connsiteY33" fmla="*/ 533994 h 879902"/>
            <a:gd name="connsiteX34" fmla="*/ 877303 w 998446"/>
            <a:gd name="connsiteY34" fmla="*/ 554047 h 879902"/>
            <a:gd name="connsiteX35" fmla="*/ 887329 w 998446"/>
            <a:gd name="connsiteY35" fmla="*/ 569086 h 879902"/>
            <a:gd name="connsiteX36" fmla="*/ 902369 w 998446"/>
            <a:gd name="connsiteY36" fmla="*/ 579113 h 879902"/>
            <a:gd name="connsiteX37" fmla="*/ 902369 w 998446"/>
            <a:gd name="connsiteY37" fmla="*/ 609192 h 879902"/>
            <a:gd name="connsiteX38" fmla="*/ 912395 w 998446"/>
            <a:gd name="connsiteY38" fmla="*/ 649297 h 879902"/>
            <a:gd name="connsiteX39" fmla="*/ 917408 w 998446"/>
            <a:gd name="connsiteY39" fmla="*/ 664336 h 879902"/>
            <a:gd name="connsiteX40" fmla="*/ 927435 w 998446"/>
            <a:gd name="connsiteY40" fmla="*/ 674363 h 879902"/>
            <a:gd name="connsiteX41" fmla="*/ 947487 w 998446"/>
            <a:gd name="connsiteY41" fmla="*/ 699428 h 879902"/>
            <a:gd name="connsiteX42" fmla="*/ 957513 w 998446"/>
            <a:gd name="connsiteY42" fmla="*/ 714468 h 879902"/>
            <a:gd name="connsiteX43" fmla="*/ 967540 w 998446"/>
            <a:gd name="connsiteY43" fmla="*/ 724494 h 879902"/>
            <a:gd name="connsiteX44" fmla="*/ 972553 w 998446"/>
            <a:gd name="connsiteY44" fmla="*/ 739534 h 879902"/>
            <a:gd name="connsiteX45" fmla="*/ 992606 w 998446"/>
            <a:gd name="connsiteY45" fmla="*/ 764599 h 879902"/>
            <a:gd name="connsiteX46" fmla="*/ 912395 w 998446"/>
            <a:gd name="connsiteY46" fmla="*/ 784652 h 879902"/>
            <a:gd name="connsiteX47" fmla="*/ 897356 w 998446"/>
            <a:gd name="connsiteY47" fmla="*/ 814731 h 879902"/>
            <a:gd name="connsiteX48" fmla="*/ 882316 w 998446"/>
            <a:gd name="connsiteY48" fmla="*/ 819744 h 879902"/>
            <a:gd name="connsiteX49" fmla="*/ 867277 w 998446"/>
            <a:gd name="connsiteY49" fmla="*/ 849823 h 879902"/>
            <a:gd name="connsiteX50" fmla="*/ 862263 w 998446"/>
            <a:gd name="connsiteY50" fmla="*/ 864863 h 879902"/>
            <a:gd name="connsiteX51" fmla="*/ 792079 w 998446"/>
            <a:gd name="connsiteY51" fmla="*/ 879902 h 879902"/>
            <a:gd name="connsiteX52" fmla="*/ 731921 w 998446"/>
            <a:gd name="connsiteY52" fmla="*/ 874889 h 879902"/>
            <a:gd name="connsiteX53" fmla="*/ 706856 w 998446"/>
            <a:gd name="connsiteY53" fmla="*/ 869876 h 879902"/>
            <a:gd name="connsiteX54" fmla="*/ 696829 w 998446"/>
            <a:gd name="connsiteY54" fmla="*/ 859849 h 879902"/>
            <a:gd name="connsiteX55" fmla="*/ 671763 w 998446"/>
            <a:gd name="connsiteY55" fmla="*/ 854836 h 879902"/>
            <a:gd name="connsiteX56" fmla="*/ 656724 w 998446"/>
            <a:gd name="connsiteY56" fmla="*/ 844810 h 879902"/>
            <a:gd name="connsiteX57" fmla="*/ 629513 w 998446"/>
            <a:gd name="connsiteY57" fmla="*/ 831650 h 879902"/>
            <a:gd name="connsiteX58" fmla="*/ 601820 w 998446"/>
            <a:gd name="connsiteY58" fmla="*/ 806836 h 879902"/>
            <a:gd name="connsiteX59" fmla="*/ 584395 w 998446"/>
            <a:gd name="connsiteY59" fmla="*/ 801571 h 879902"/>
            <a:gd name="connsiteX60" fmla="*/ 559810 w 998446"/>
            <a:gd name="connsiteY60" fmla="*/ 789415 h 879902"/>
            <a:gd name="connsiteX61" fmla="*/ 537615 w 998446"/>
            <a:gd name="connsiteY61" fmla="*/ 781769 h 879902"/>
            <a:gd name="connsiteX62" fmla="*/ 516356 w 998446"/>
            <a:gd name="connsiteY62" fmla="*/ 764599 h 879902"/>
            <a:gd name="connsiteX63" fmla="*/ 501316 w 998446"/>
            <a:gd name="connsiteY63" fmla="*/ 759586 h 879902"/>
            <a:gd name="connsiteX64" fmla="*/ 486277 w 998446"/>
            <a:gd name="connsiteY64" fmla="*/ 749560 h 879902"/>
            <a:gd name="connsiteX65" fmla="*/ 451185 w 998446"/>
            <a:gd name="connsiteY65" fmla="*/ 719481 h 879902"/>
            <a:gd name="connsiteX66" fmla="*/ 431132 w 998446"/>
            <a:gd name="connsiteY66" fmla="*/ 714468 h 879902"/>
            <a:gd name="connsiteX67" fmla="*/ 416092 w 998446"/>
            <a:gd name="connsiteY67" fmla="*/ 704442 h 879902"/>
            <a:gd name="connsiteX68" fmla="*/ 396040 w 998446"/>
            <a:gd name="connsiteY68" fmla="*/ 684389 h 879902"/>
            <a:gd name="connsiteX69" fmla="*/ 370974 w 998446"/>
            <a:gd name="connsiteY69" fmla="*/ 669349 h 879902"/>
            <a:gd name="connsiteX70" fmla="*/ 355935 w 998446"/>
            <a:gd name="connsiteY70" fmla="*/ 659323 h 879902"/>
            <a:gd name="connsiteX71" fmla="*/ 290763 w 998446"/>
            <a:gd name="connsiteY71" fmla="*/ 644284 h 879902"/>
            <a:gd name="connsiteX72" fmla="*/ 265698 w 998446"/>
            <a:gd name="connsiteY72" fmla="*/ 639270 h 879902"/>
            <a:gd name="connsiteX73" fmla="*/ 255671 w 998446"/>
            <a:gd name="connsiteY73" fmla="*/ 629244 h 879902"/>
            <a:gd name="connsiteX74" fmla="*/ 200527 w 998446"/>
            <a:gd name="connsiteY74" fmla="*/ 614205 h 879902"/>
            <a:gd name="connsiteX75" fmla="*/ 170448 w 998446"/>
            <a:gd name="connsiteY75" fmla="*/ 594152 h 879902"/>
            <a:gd name="connsiteX76" fmla="*/ 140369 w 998446"/>
            <a:gd name="connsiteY76" fmla="*/ 584126 h 879902"/>
            <a:gd name="connsiteX77" fmla="*/ 130342 w 998446"/>
            <a:gd name="connsiteY77" fmla="*/ 574099 h 879902"/>
            <a:gd name="connsiteX78" fmla="*/ 95250 w 998446"/>
            <a:gd name="connsiteY78" fmla="*/ 564073 h 879902"/>
            <a:gd name="connsiteX79" fmla="*/ 65171 w 998446"/>
            <a:gd name="connsiteY79" fmla="*/ 554047 h 879902"/>
            <a:gd name="connsiteX80" fmla="*/ 55145 w 998446"/>
            <a:gd name="connsiteY80" fmla="*/ 544020 h 879902"/>
            <a:gd name="connsiteX81" fmla="*/ 45119 w 998446"/>
            <a:gd name="connsiteY81" fmla="*/ 528981 h 879902"/>
            <a:gd name="connsiteX82" fmla="*/ 30079 w 998446"/>
            <a:gd name="connsiteY82" fmla="*/ 523968 h 879902"/>
            <a:gd name="connsiteX83" fmla="*/ 15040 w 998446"/>
            <a:gd name="connsiteY83" fmla="*/ 493889 h 879902"/>
            <a:gd name="connsiteX84" fmla="*/ 0 w 998446"/>
            <a:gd name="connsiteY84" fmla="*/ 443757 h 879902"/>
            <a:gd name="connsiteX85" fmla="*/ 15040 w 998446"/>
            <a:gd name="connsiteY85" fmla="*/ 408665 h 879902"/>
            <a:gd name="connsiteX86" fmla="*/ 45119 w 998446"/>
            <a:gd name="connsiteY86" fmla="*/ 398639 h 879902"/>
            <a:gd name="connsiteX87" fmla="*/ 60158 w 998446"/>
            <a:gd name="connsiteY87" fmla="*/ 388613 h 879902"/>
            <a:gd name="connsiteX88" fmla="*/ 90237 w 998446"/>
            <a:gd name="connsiteY88" fmla="*/ 373573 h 879902"/>
            <a:gd name="connsiteX89" fmla="*/ 100263 w 998446"/>
            <a:gd name="connsiteY89" fmla="*/ 358534 h 879902"/>
            <a:gd name="connsiteX90" fmla="*/ 130342 w 998446"/>
            <a:gd name="connsiteY90" fmla="*/ 338481 h 879902"/>
            <a:gd name="connsiteX91" fmla="*/ 140369 w 998446"/>
            <a:gd name="connsiteY91" fmla="*/ 328455 h 879902"/>
            <a:gd name="connsiteX92" fmla="*/ 145382 w 998446"/>
            <a:gd name="connsiteY92" fmla="*/ 313415 h 879902"/>
            <a:gd name="connsiteX93" fmla="*/ 155408 w 998446"/>
            <a:gd name="connsiteY93" fmla="*/ 298376 h 879902"/>
            <a:gd name="connsiteX94" fmla="*/ 165435 w 998446"/>
            <a:gd name="connsiteY94" fmla="*/ 268297 h 879902"/>
            <a:gd name="connsiteX95" fmla="*/ 155408 w 998446"/>
            <a:gd name="connsiteY95" fmla="*/ 188086 h 879902"/>
            <a:gd name="connsiteX96" fmla="*/ 145382 w 998446"/>
            <a:gd name="connsiteY96" fmla="*/ 152994 h 879902"/>
            <a:gd name="connsiteX97" fmla="*/ 135356 w 998446"/>
            <a:gd name="connsiteY97" fmla="*/ 137955 h 879902"/>
            <a:gd name="connsiteX98" fmla="*/ 125329 w 998446"/>
            <a:gd name="connsiteY98" fmla="*/ 107876 h 879902"/>
            <a:gd name="connsiteX99" fmla="*/ 130342 w 998446"/>
            <a:gd name="connsiteY99" fmla="*/ 92836 h 879902"/>
            <a:gd name="connsiteX100" fmla="*/ 140369 w 998446"/>
            <a:gd name="connsiteY100" fmla="*/ 82810 h 879902"/>
            <a:gd name="connsiteX101" fmla="*/ 150395 w 998446"/>
            <a:gd name="connsiteY101" fmla="*/ 52731 h 879902"/>
            <a:gd name="connsiteX102" fmla="*/ 160421 w 998446"/>
            <a:gd name="connsiteY102" fmla="*/ 37692 h 879902"/>
            <a:gd name="connsiteX103" fmla="*/ 190500 w 998446"/>
            <a:gd name="connsiteY103" fmla="*/ 2599 h 87990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</a:cxnLst>
          <a:rect l="l" t="t" r="r" b="b"/>
          <a:pathLst>
            <a:path w="998446" h="879902">
              <a:moveTo>
                <a:pt x="190500" y="2599"/>
              </a:moveTo>
              <a:cubicBezTo>
                <a:pt x="218908" y="-3250"/>
                <a:pt x="180137" y="2599"/>
                <a:pt x="330869" y="2599"/>
              </a:cubicBezTo>
              <a:cubicBezTo>
                <a:pt x="341034" y="2599"/>
                <a:pt x="350922" y="5942"/>
                <a:pt x="360948" y="7613"/>
              </a:cubicBezTo>
              <a:cubicBezTo>
                <a:pt x="367632" y="17639"/>
                <a:pt x="372479" y="29172"/>
                <a:pt x="381000" y="37692"/>
              </a:cubicBezTo>
              <a:cubicBezTo>
                <a:pt x="384342" y="41034"/>
                <a:pt x="388074" y="44027"/>
                <a:pt x="391027" y="47718"/>
              </a:cubicBezTo>
              <a:cubicBezTo>
                <a:pt x="394791" y="52423"/>
                <a:pt x="395944" y="59564"/>
                <a:pt x="401053" y="62757"/>
              </a:cubicBezTo>
              <a:cubicBezTo>
                <a:pt x="410015" y="68358"/>
                <a:pt x="421106" y="69442"/>
                <a:pt x="431132" y="72784"/>
              </a:cubicBezTo>
              <a:lnTo>
                <a:pt x="446171" y="77797"/>
              </a:lnTo>
              <a:cubicBezTo>
                <a:pt x="480318" y="111940"/>
                <a:pt x="426951" y="59889"/>
                <a:pt x="471237" y="97849"/>
              </a:cubicBezTo>
              <a:cubicBezTo>
                <a:pt x="471250" y="97861"/>
                <a:pt x="503395" y="130008"/>
                <a:pt x="506329" y="132942"/>
              </a:cubicBezTo>
              <a:cubicBezTo>
                <a:pt x="515652" y="142265"/>
                <a:pt x="518751" y="146672"/>
                <a:pt x="531395" y="152994"/>
              </a:cubicBezTo>
              <a:cubicBezTo>
                <a:pt x="536122" y="155357"/>
                <a:pt x="541422" y="156336"/>
                <a:pt x="546435" y="158007"/>
              </a:cubicBezTo>
              <a:cubicBezTo>
                <a:pt x="549777" y="161349"/>
                <a:pt x="552408" y="165602"/>
                <a:pt x="556461" y="168034"/>
              </a:cubicBezTo>
              <a:cubicBezTo>
                <a:pt x="560992" y="170753"/>
                <a:pt x="567764" y="169311"/>
                <a:pt x="571500" y="173047"/>
              </a:cubicBezTo>
              <a:cubicBezTo>
                <a:pt x="575236" y="176783"/>
                <a:pt x="573794" y="183555"/>
                <a:pt x="576513" y="188086"/>
              </a:cubicBezTo>
              <a:cubicBezTo>
                <a:pt x="578945" y="192139"/>
                <a:pt x="583587" y="194422"/>
                <a:pt x="586540" y="198113"/>
              </a:cubicBezTo>
              <a:cubicBezTo>
                <a:pt x="590304" y="202818"/>
                <a:pt x="593224" y="208139"/>
                <a:pt x="596566" y="213152"/>
              </a:cubicBezTo>
              <a:cubicBezTo>
                <a:pt x="593224" y="223178"/>
                <a:pt x="588613" y="232868"/>
                <a:pt x="586540" y="243231"/>
              </a:cubicBezTo>
              <a:cubicBezTo>
                <a:pt x="584869" y="251586"/>
                <a:pt x="584884" y="260465"/>
                <a:pt x="581527" y="268297"/>
              </a:cubicBezTo>
              <a:cubicBezTo>
                <a:pt x="579665" y="272641"/>
                <a:pt x="574842" y="274981"/>
                <a:pt x="571500" y="278323"/>
              </a:cubicBezTo>
              <a:cubicBezTo>
                <a:pt x="573171" y="285007"/>
                <a:pt x="573432" y="292213"/>
                <a:pt x="576513" y="298376"/>
              </a:cubicBezTo>
              <a:cubicBezTo>
                <a:pt x="578627" y="302604"/>
                <a:pt x="584426" y="304174"/>
                <a:pt x="586540" y="308402"/>
              </a:cubicBezTo>
              <a:cubicBezTo>
                <a:pt x="591267" y="317855"/>
                <a:pt x="590704" y="329687"/>
                <a:pt x="596566" y="338481"/>
              </a:cubicBezTo>
              <a:cubicBezTo>
                <a:pt x="627423" y="384767"/>
                <a:pt x="588046" y="327831"/>
                <a:pt x="616619" y="363547"/>
              </a:cubicBezTo>
              <a:cubicBezTo>
                <a:pt x="629578" y="379746"/>
                <a:pt x="626010" y="384847"/>
                <a:pt x="646698" y="398639"/>
              </a:cubicBezTo>
              <a:cubicBezTo>
                <a:pt x="651711" y="401981"/>
                <a:pt x="657163" y="404744"/>
                <a:pt x="661737" y="408665"/>
              </a:cubicBezTo>
              <a:cubicBezTo>
                <a:pt x="692014" y="434617"/>
                <a:pt x="669195" y="424520"/>
                <a:pt x="696829" y="433731"/>
              </a:cubicBezTo>
              <a:lnTo>
                <a:pt x="731921" y="468823"/>
              </a:lnTo>
              <a:cubicBezTo>
                <a:pt x="735263" y="472165"/>
                <a:pt x="737464" y="477354"/>
                <a:pt x="741948" y="478849"/>
              </a:cubicBezTo>
              <a:cubicBezTo>
                <a:pt x="746961" y="480520"/>
                <a:pt x="751829" y="482717"/>
                <a:pt x="756987" y="483863"/>
              </a:cubicBezTo>
              <a:cubicBezTo>
                <a:pt x="809938" y="495631"/>
                <a:pt x="768242" y="482602"/>
                <a:pt x="802106" y="493889"/>
              </a:cubicBezTo>
              <a:cubicBezTo>
                <a:pt x="807119" y="497231"/>
                <a:pt x="812440" y="500151"/>
                <a:pt x="817145" y="503915"/>
              </a:cubicBezTo>
              <a:cubicBezTo>
                <a:pt x="820836" y="506868"/>
                <a:pt x="823390" y="511106"/>
                <a:pt x="827171" y="513942"/>
              </a:cubicBezTo>
              <a:cubicBezTo>
                <a:pt x="836811" y="521172"/>
                <a:pt x="848729" y="525473"/>
                <a:pt x="857250" y="533994"/>
              </a:cubicBezTo>
              <a:cubicBezTo>
                <a:pt x="863934" y="540678"/>
                <a:pt x="872059" y="546182"/>
                <a:pt x="877303" y="554047"/>
              </a:cubicBezTo>
              <a:cubicBezTo>
                <a:pt x="880645" y="559060"/>
                <a:pt x="883069" y="564826"/>
                <a:pt x="887329" y="569086"/>
              </a:cubicBezTo>
              <a:cubicBezTo>
                <a:pt x="891590" y="573347"/>
                <a:pt x="897356" y="575771"/>
                <a:pt x="902369" y="579113"/>
              </a:cubicBezTo>
              <a:cubicBezTo>
                <a:pt x="920749" y="634253"/>
                <a:pt x="897356" y="554049"/>
                <a:pt x="902369" y="609192"/>
              </a:cubicBezTo>
              <a:cubicBezTo>
                <a:pt x="903617" y="622915"/>
                <a:pt x="908037" y="636224"/>
                <a:pt x="912395" y="649297"/>
              </a:cubicBezTo>
              <a:cubicBezTo>
                <a:pt x="914066" y="654310"/>
                <a:pt x="914689" y="659805"/>
                <a:pt x="917408" y="664336"/>
              </a:cubicBezTo>
              <a:cubicBezTo>
                <a:pt x="919840" y="668389"/>
                <a:pt x="924093" y="671021"/>
                <a:pt x="927435" y="674363"/>
              </a:cubicBezTo>
              <a:cubicBezTo>
                <a:pt x="937195" y="703642"/>
                <a:pt x="924812" y="676752"/>
                <a:pt x="947487" y="699428"/>
              </a:cubicBezTo>
              <a:cubicBezTo>
                <a:pt x="951747" y="703689"/>
                <a:pt x="953749" y="709763"/>
                <a:pt x="957513" y="714468"/>
              </a:cubicBezTo>
              <a:cubicBezTo>
                <a:pt x="960466" y="718159"/>
                <a:pt x="964198" y="721152"/>
                <a:pt x="967540" y="724494"/>
              </a:cubicBezTo>
              <a:cubicBezTo>
                <a:pt x="969211" y="729507"/>
                <a:pt x="970190" y="734807"/>
                <a:pt x="972553" y="739534"/>
              </a:cubicBezTo>
              <a:cubicBezTo>
                <a:pt x="978877" y="752183"/>
                <a:pt x="983280" y="755273"/>
                <a:pt x="992606" y="764599"/>
              </a:cubicBezTo>
              <a:cubicBezTo>
                <a:pt x="1007411" y="809018"/>
                <a:pt x="998618" y="766499"/>
                <a:pt x="912395" y="784652"/>
              </a:cubicBezTo>
              <a:cubicBezTo>
                <a:pt x="900618" y="787131"/>
                <a:pt x="903239" y="808848"/>
                <a:pt x="897356" y="814731"/>
              </a:cubicBezTo>
              <a:cubicBezTo>
                <a:pt x="893619" y="818468"/>
                <a:pt x="887329" y="818073"/>
                <a:pt x="882316" y="819744"/>
              </a:cubicBezTo>
              <a:cubicBezTo>
                <a:pt x="869718" y="857542"/>
                <a:pt x="886710" y="810958"/>
                <a:pt x="867277" y="849823"/>
              </a:cubicBezTo>
              <a:cubicBezTo>
                <a:pt x="864914" y="854550"/>
                <a:pt x="866563" y="861791"/>
                <a:pt x="862263" y="864863"/>
              </a:cubicBezTo>
              <a:cubicBezTo>
                <a:pt x="847111" y="875686"/>
                <a:pt x="807350" y="877993"/>
                <a:pt x="792079" y="879902"/>
              </a:cubicBezTo>
              <a:cubicBezTo>
                <a:pt x="772026" y="878231"/>
                <a:pt x="751905" y="877240"/>
                <a:pt x="731921" y="874889"/>
              </a:cubicBezTo>
              <a:cubicBezTo>
                <a:pt x="723459" y="873893"/>
                <a:pt x="714687" y="873232"/>
                <a:pt x="706856" y="869876"/>
              </a:cubicBezTo>
              <a:cubicBezTo>
                <a:pt x="702511" y="868014"/>
                <a:pt x="701174" y="861711"/>
                <a:pt x="696829" y="859849"/>
              </a:cubicBezTo>
              <a:cubicBezTo>
                <a:pt x="688997" y="856492"/>
                <a:pt x="680118" y="856507"/>
                <a:pt x="671763" y="854836"/>
              </a:cubicBezTo>
              <a:cubicBezTo>
                <a:pt x="666750" y="851494"/>
                <a:pt x="663766" y="848674"/>
                <a:pt x="656724" y="844810"/>
              </a:cubicBezTo>
              <a:cubicBezTo>
                <a:pt x="649682" y="840946"/>
                <a:pt x="638664" y="837979"/>
                <a:pt x="629513" y="831650"/>
              </a:cubicBezTo>
              <a:cubicBezTo>
                <a:pt x="620362" y="825321"/>
                <a:pt x="609340" y="811849"/>
                <a:pt x="601820" y="806836"/>
              </a:cubicBezTo>
              <a:cubicBezTo>
                <a:pt x="594300" y="801823"/>
                <a:pt x="590111" y="803476"/>
                <a:pt x="584395" y="801571"/>
              </a:cubicBezTo>
              <a:cubicBezTo>
                <a:pt x="579382" y="799900"/>
                <a:pt x="564823" y="791086"/>
                <a:pt x="559810" y="789415"/>
              </a:cubicBezTo>
              <a:cubicBezTo>
                <a:pt x="554797" y="786073"/>
                <a:pt x="544857" y="785905"/>
                <a:pt x="537615" y="781769"/>
              </a:cubicBezTo>
              <a:cubicBezTo>
                <a:pt x="530373" y="777633"/>
                <a:pt x="522406" y="768296"/>
                <a:pt x="516356" y="764599"/>
              </a:cubicBezTo>
              <a:cubicBezTo>
                <a:pt x="510306" y="760902"/>
                <a:pt x="506329" y="761257"/>
                <a:pt x="501316" y="759586"/>
              </a:cubicBezTo>
              <a:cubicBezTo>
                <a:pt x="496303" y="756244"/>
                <a:pt x="490851" y="753481"/>
                <a:pt x="486277" y="749560"/>
              </a:cubicBezTo>
              <a:cubicBezTo>
                <a:pt x="473825" y="738887"/>
                <a:pt x="466530" y="726057"/>
                <a:pt x="451185" y="719481"/>
              </a:cubicBezTo>
              <a:cubicBezTo>
                <a:pt x="444852" y="716767"/>
                <a:pt x="437816" y="716139"/>
                <a:pt x="431132" y="714468"/>
              </a:cubicBezTo>
              <a:cubicBezTo>
                <a:pt x="426119" y="711126"/>
                <a:pt x="419856" y="709147"/>
                <a:pt x="416092" y="704442"/>
              </a:cubicBezTo>
              <a:cubicBezTo>
                <a:pt x="396646" y="680135"/>
                <a:pt x="428853" y="695327"/>
                <a:pt x="396040" y="684389"/>
              </a:cubicBezTo>
              <a:cubicBezTo>
                <a:pt x="376455" y="664806"/>
                <a:pt x="397005" y="682365"/>
                <a:pt x="370974" y="669349"/>
              </a:cubicBezTo>
              <a:cubicBezTo>
                <a:pt x="365585" y="666654"/>
                <a:pt x="361441" y="661770"/>
                <a:pt x="355935" y="659323"/>
              </a:cubicBezTo>
              <a:cubicBezTo>
                <a:pt x="327667" y="646760"/>
                <a:pt x="321760" y="649450"/>
                <a:pt x="290763" y="644284"/>
              </a:cubicBezTo>
              <a:cubicBezTo>
                <a:pt x="282358" y="642883"/>
                <a:pt x="274053" y="640941"/>
                <a:pt x="265698" y="639270"/>
              </a:cubicBezTo>
              <a:cubicBezTo>
                <a:pt x="262356" y="635928"/>
                <a:pt x="259899" y="631358"/>
                <a:pt x="255671" y="629244"/>
              </a:cubicBezTo>
              <a:cubicBezTo>
                <a:pt x="238710" y="620764"/>
                <a:pt x="218863" y="617872"/>
                <a:pt x="200527" y="614205"/>
              </a:cubicBezTo>
              <a:cubicBezTo>
                <a:pt x="190501" y="607521"/>
                <a:pt x="181880" y="597962"/>
                <a:pt x="170448" y="594152"/>
              </a:cubicBezTo>
              <a:lnTo>
                <a:pt x="140369" y="584126"/>
              </a:lnTo>
              <a:cubicBezTo>
                <a:pt x="137027" y="580784"/>
                <a:pt x="134395" y="576531"/>
                <a:pt x="130342" y="574099"/>
              </a:cubicBezTo>
              <a:cubicBezTo>
                <a:pt x="124726" y="570729"/>
                <a:pt x="99620" y="565384"/>
                <a:pt x="95250" y="564073"/>
              </a:cubicBezTo>
              <a:cubicBezTo>
                <a:pt x="85127" y="561036"/>
                <a:pt x="65171" y="554047"/>
                <a:pt x="65171" y="554047"/>
              </a:cubicBezTo>
              <a:cubicBezTo>
                <a:pt x="61829" y="550705"/>
                <a:pt x="58098" y="547711"/>
                <a:pt x="55145" y="544020"/>
              </a:cubicBezTo>
              <a:cubicBezTo>
                <a:pt x="51381" y="539315"/>
                <a:pt x="49824" y="532745"/>
                <a:pt x="45119" y="528981"/>
              </a:cubicBezTo>
              <a:cubicBezTo>
                <a:pt x="40992" y="525680"/>
                <a:pt x="35092" y="525639"/>
                <a:pt x="30079" y="523968"/>
              </a:cubicBezTo>
              <a:cubicBezTo>
                <a:pt x="22052" y="511927"/>
                <a:pt x="17634" y="508157"/>
                <a:pt x="15040" y="493889"/>
              </a:cubicBezTo>
              <a:cubicBezTo>
                <a:pt x="6330" y="445983"/>
                <a:pt x="20645" y="464402"/>
                <a:pt x="0" y="443757"/>
              </a:cubicBezTo>
              <a:cubicBezTo>
                <a:pt x="2369" y="434281"/>
                <a:pt x="4781" y="415077"/>
                <a:pt x="15040" y="408665"/>
              </a:cubicBezTo>
              <a:cubicBezTo>
                <a:pt x="24002" y="403064"/>
                <a:pt x="45119" y="398639"/>
                <a:pt x="45119" y="398639"/>
              </a:cubicBezTo>
              <a:cubicBezTo>
                <a:pt x="50132" y="395297"/>
                <a:pt x="54769" y="391307"/>
                <a:pt x="60158" y="388613"/>
              </a:cubicBezTo>
              <a:cubicBezTo>
                <a:pt x="101668" y="367857"/>
                <a:pt x="47139" y="402305"/>
                <a:pt x="90237" y="373573"/>
              </a:cubicBezTo>
              <a:cubicBezTo>
                <a:pt x="93579" y="368560"/>
                <a:pt x="95729" y="362501"/>
                <a:pt x="100263" y="358534"/>
              </a:cubicBezTo>
              <a:cubicBezTo>
                <a:pt x="109332" y="350599"/>
                <a:pt x="121821" y="347001"/>
                <a:pt x="130342" y="338481"/>
              </a:cubicBezTo>
              <a:lnTo>
                <a:pt x="140369" y="328455"/>
              </a:lnTo>
              <a:cubicBezTo>
                <a:pt x="142040" y="323442"/>
                <a:pt x="143019" y="318142"/>
                <a:pt x="145382" y="313415"/>
              </a:cubicBezTo>
              <a:cubicBezTo>
                <a:pt x="148076" y="308026"/>
                <a:pt x="152961" y="303882"/>
                <a:pt x="155408" y="298376"/>
              </a:cubicBezTo>
              <a:cubicBezTo>
                <a:pt x="159700" y="288718"/>
                <a:pt x="165435" y="268297"/>
                <a:pt x="165435" y="268297"/>
              </a:cubicBezTo>
              <a:cubicBezTo>
                <a:pt x="157433" y="164284"/>
                <a:pt x="167937" y="231939"/>
                <a:pt x="155408" y="188086"/>
              </a:cubicBezTo>
              <a:cubicBezTo>
                <a:pt x="153267" y="180592"/>
                <a:pt x="149388" y="161006"/>
                <a:pt x="145382" y="152994"/>
              </a:cubicBezTo>
              <a:cubicBezTo>
                <a:pt x="142688" y="147605"/>
                <a:pt x="137803" y="143461"/>
                <a:pt x="135356" y="137955"/>
              </a:cubicBezTo>
              <a:cubicBezTo>
                <a:pt x="131064" y="128297"/>
                <a:pt x="125329" y="107876"/>
                <a:pt x="125329" y="107876"/>
              </a:cubicBezTo>
              <a:cubicBezTo>
                <a:pt x="127000" y="102863"/>
                <a:pt x="127623" y="97367"/>
                <a:pt x="130342" y="92836"/>
              </a:cubicBezTo>
              <a:cubicBezTo>
                <a:pt x="132774" y="88783"/>
                <a:pt x="138255" y="87038"/>
                <a:pt x="140369" y="82810"/>
              </a:cubicBezTo>
              <a:cubicBezTo>
                <a:pt x="145096" y="73357"/>
                <a:pt x="144533" y="61525"/>
                <a:pt x="150395" y="52731"/>
              </a:cubicBezTo>
              <a:cubicBezTo>
                <a:pt x="153737" y="47718"/>
                <a:pt x="156657" y="42397"/>
                <a:pt x="160421" y="37692"/>
              </a:cubicBezTo>
              <a:cubicBezTo>
                <a:pt x="171630" y="23681"/>
                <a:pt x="162092" y="8448"/>
                <a:pt x="190500" y="2599"/>
              </a:cubicBezTo>
              <a:close/>
            </a:path>
          </a:pathLst>
        </a:custGeom>
        <a:solidFill>
          <a:srgbClr val="FFFF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162426</xdr:colOff>
      <xdr:row>20</xdr:row>
      <xdr:rowOff>73841</xdr:rowOff>
    </xdr:from>
    <xdr:to>
      <xdr:col>35</xdr:col>
      <xdr:colOff>63286</xdr:colOff>
      <xdr:row>23</xdr:row>
      <xdr:rowOff>20053</xdr:rowOff>
    </xdr:to>
    <xdr:sp macro="" textlink="">
      <xdr:nvSpPr>
        <xdr:cNvPr id="20" name="Freeform 19"/>
        <xdr:cNvSpPr/>
      </xdr:nvSpPr>
      <xdr:spPr>
        <a:xfrm>
          <a:off x="20431626" y="3883841"/>
          <a:ext cx="510460" cy="517712"/>
        </a:xfrm>
        <a:custGeom>
          <a:avLst/>
          <a:gdLst>
            <a:gd name="connsiteX0" fmla="*/ 501316 w 511483"/>
            <a:gd name="connsiteY0" fmla="*/ 1356 h 517712"/>
            <a:gd name="connsiteX1" fmla="*/ 426119 w 511483"/>
            <a:gd name="connsiteY1" fmla="*/ 6370 h 517712"/>
            <a:gd name="connsiteX2" fmla="*/ 375987 w 511483"/>
            <a:gd name="connsiteY2" fmla="*/ 21409 h 517712"/>
            <a:gd name="connsiteX3" fmla="*/ 300790 w 511483"/>
            <a:gd name="connsiteY3" fmla="*/ 31435 h 517712"/>
            <a:gd name="connsiteX4" fmla="*/ 245645 w 511483"/>
            <a:gd name="connsiteY4" fmla="*/ 41462 h 517712"/>
            <a:gd name="connsiteX5" fmla="*/ 210553 w 511483"/>
            <a:gd name="connsiteY5" fmla="*/ 46475 h 517712"/>
            <a:gd name="connsiteX6" fmla="*/ 175461 w 511483"/>
            <a:gd name="connsiteY6" fmla="*/ 36448 h 517712"/>
            <a:gd name="connsiteX7" fmla="*/ 125329 w 511483"/>
            <a:gd name="connsiteY7" fmla="*/ 41462 h 517712"/>
            <a:gd name="connsiteX8" fmla="*/ 95250 w 511483"/>
            <a:gd name="connsiteY8" fmla="*/ 51488 h 517712"/>
            <a:gd name="connsiteX9" fmla="*/ 65171 w 511483"/>
            <a:gd name="connsiteY9" fmla="*/ 66527 h 517712"/>
            <a:gd name="connsiteX10" fmla="*/ 40106 w 511483"/>
            <a:gd name="connsiteY10" fmla="*/ 61514 h 517712"/>
            <a:gd name="connsiteX11" fmla="*/ 45119 w 511483"/>
            <a:gd name="connsiteY11" fmla="*/ 81567 h 517712"/>
            <a:gd name="connsiteX12" fmla="*/ 40106 w 511483"/>
            <a:gd name="connsiteY12" fmla="*/ 121672 h 517712"/>
            <a:gd name="connsiteX13" fmla="*/ 35092 w 511483"/>
            <a:gd name="connsiteY13" fmla="*/ 136712 h 517712"/>
            <a:gd name="connsiteX14" fmla="*/ 20053 w 511483"/>
            <a:gd name="connsiteY14" fmla="*/ 141725 h 517712"/>
            <a:gd name="connsiteX15" fmla="*/ 5013 w 511483"/>
            <a:gd name="connsiteY15" fmla="*/ 166791 h 517712"/>
            <a:gd name="connsiteX16" fmla="*/ 0 w 511483"/>
            <a:gd name="connsiteY16" fmla="*/ 181830 h 517712"/>
            <a:gd name="connsiteX17" fmla="*/ 10027 w 511483"/>
            <a:gd name="connsiteY17" fmla="*/ 247001 h 517712"/>
            <a:gd name="connsiteX18" fmla="*/ 20053 w 511483"/>
            <a:gd name="connsiteY18" fmla="*/ 262041 h 517712"/>
            <a:gd name="connsiteX19" fmla="*/ 50132 w 511483"/>
            <a:gd name="connsiteY19" fmla="*/ 272067 h 517712"/>
            <a:gd name="connsiteX20" fmla="*/ 65171 w 511483"/>
            <a:gd name="connsiteY20" fmla="*/ 277080 h 517712"/>
            <a:gd name="connsiteX21" fmla="*/ 80211 w 511483"/>
            <a:gd name="connsiteY21" fmla="*/ 282093 h 517712"/>
            <a:gd name="connsiteX22" fmla="*/ 90237 w 511483"/>
            <a:gd name="connsiteY22" fmla="*/ 292120 h 517712"/>
            <a:gd name="connsiteX23" fmla="*/ 105277 w 511483"/>
            <a:gd name="connsiteY23" fmla="*/ 302146 h 517712"/>
            <a:gd name="connsiteX24" fmla="*/ 115303 w 511483"/>
            <a:gd name="connsiteY24" fmla="*/ 332225 h 517712"/>
            <a:gd name="connsiteX25" fmla="*/ 100263 w 511483"/>
            <a:gd name="connsiteY25" fmla="*/ 337238 h 517712"/>
            <a:gd name="connsiteX26" fmla="*/ 85224 w 511483"/>
            <a:gd name="connsiteY26" fmla="*/ 367317 h 517712"/>
            <a:gd name="connsiteX27" fmla="*/ 70184 w 511483"/>
            <a:gd name="connsiteY27" fmla="*/ 377343 h 517712"/>
            <a:gd name="connsiteX28" fmla="*/ 60158 w 511483"/>
            <a:gd name="connsiteY28" fmla="*/ 387370 h 517712"/>
            <a:gd name="connsiteX29" fmla="*/ 55145 w 511483"/>
            <a:gd name="connsiteY29" fmla="*/ 432488 h 517712"/>
            <a:gd name="connsiteX30" fmla="*/ 70184 w 511483"/>
            <a:gd name="connsiteY30" fmla="*/ 442514 h 517712"/>
            <a:gd name="connsiteX31" fmla="*/ 95250 w 511483"/>
            <a:gd name="connsiteY31" fmla="*/ 492646 h 517712"/>
            <a:gd name="connsiteX32" fmla="*/ 110290 w 511483"/>
            <a:gd name="connsiteY32" fmla="*/ 507685 h 517712"/>
            <a:gd name="connsiteX33" fmla="*/ 140369 w 511483"/>
            <a:gd name="connsiteY33" fmla="*/ 517712 h 517712"/>
            <a:gd name="connsiteX34" fmla="*/ 180474 w 511483"/>
            <a:gd name="connsiteY34" fmla="*/ 512698 h 517712"/>
            <a:gd name="connsiteX35" fmla="*/ 200527 w 511483"/>
            <a:gd name="connsiteY35" fmla="*/ 507685 h 517712"/>
            <a:gd name="connsiteX36" fmla="*/ 210553 w 511483"/>
            <a:gd name="connsiteY36" fmla="*/ 492646 h 517712"/>
            <a:gd name="connsiteX37" fmla="*/ 225592 w 511483"/>
            <a:gd name="connsiteY37" fmla="*/ 482620 h 517712"/>
            <a:gd name="connsiteX38" fmla="*/ 255671 w 511483"/>
            <a:gd name="connsiteY38" fmla="*/ 472593 h 517712"/>
            <a:gd name="connsiteX39" fmla="*/ 265698 w 511483"/>
            <a:gd name="connsiteY39" fmla="*/ 462567 h 517712"/>
            <a:gd name="connsiteX40" fmla="*/ 275724 w 511483"/>
            <a:gd name="connsiteY40" fmla="*/ 447527 h 517712"/>
            <a:gd name="connsiteX41" fmla="*/ 290763 w 511483"/>
            <a:gd name="connsiteY41" fmla="*/ 442514 h 517712"/>
            <a:gd name="connsiteX42" fmla="*/ 295777 w 511483"/>
            <a:gd name="connsiteY42" fmla="*/ 427475 h 517712"/>
            <a:gd name="connsiteX43" fmla="*/ 320842 w 511483"/>
            <a:gd name="connsiteY43" fmla="*/ 407422 h 517712"/>
            <a:gd name="connsiteX44" fmla="*/ 350921 w 511483"/>
            <a:gd name="connsiteY44" fmla="*/ 397396 h 517712"/>
            <a:gd name="connsiteX45" fmla="*/ 365961 w 511483"/>
            <a:gd name="connsiteY45" fmla="*/ 392383 h 517712"/>
            <a:gd name="connsiteX46" fmla="*/ 375987 w 511483"/>
            <a:gd name="connsiteY46" fmla="*/ 382356 h 517712"/>
            <a:gd name="connsiteX47" fmla="*/ 391027 w 511483"/>
            <a:gd name="connsiteY47" fmla="*/ 372330 h 517712"/>
            <a:gd name="connsiteX48" fmla="*/ 406066 w 511483"/>
            <a:gd name="connsiteY48" fmla="*/ 347264 h 517712"/>
            <a:gd name="connsiteX49" fmla="*/ 436145 w 511483"/>
            <a:gd name="connsiteY49" fmla="*/ 337238 h 517712"/>
            <a:gd name="connsiteX50" fmla="*/ 446171 w 511483"/>
            <a:gd name="connsiteY50" fmla="*/ 322198 h 517712"/>
            <a:gd name="connsiteX51" fmla="*/ 461211 w 511483"/>
            <a:gd name="connsiteY51" fmla="*/ 317185 h 517712"/>
            <a:gd name="connsiteX52" fmla="*/ 466224 w 511483"/>
            <a:gd name="connsiteY52" fmla="*/ 302146 h 517712"/>
            <a:gd name="connsiteX53" fmla="*/ 496303 w 511483"/>
            <a:gd name="connsiteY53" fmla="*/ 287106 h 517712"/>
            <a:gd name="connsiteX54" fmla="*/ 501316 w 511483"/>
            <a:gd name="connsiteY54" fmla="*/ 272067 h 517712"/>
            <a:gd name="connsiteX55" fmla="*/ 511342 w 511483"/>
            <a:gd name="connsiteY55" fmla="*/ 257027 h 517712"/>
            <a:gd name="connsiteX56" fmla="*/ 506329 w 511483"/>
            <a:gd name="connsiteY56" fmla="*/ 236975 h 517712"/>
            <a:gd name="connsiteX57" fmla="*/ 496303 w 511483"/>
            <a:gd name="connsiteY57" fmla="*/ 151751 h 517712"/>
            <a:gd name="connsiteX58" fmla="*/ 486277 w 511483"/>
            <a:gd name="connsiteY58" fmla="*/ 121672 h 517712"/>
            <a:gd name="connsiteX59" fmla="*/ 496303 w 511483"/>
            <a:gd name="connsiteY59" fmla="*/ 31435 h 517712"/>
            <a:gd name="connsiteX60" fmla="*/ 501316 w 511483"/>
            <a:gd name="connsiteY60" fmla="*/ 1356 h 517712"/>
            <a:gd name="connsiteX0" fmla="*/ 501316 w 512469"/>
            <a:gd name="connsiteY0" fmla="*/ 1356 h 517712"/>
            <a:gd name="connsiteX1" fmla="*/ 426119 w 512469"/>
            <a:gd name="connsiteY1" fmla="*/ 6370 h 517712"/>
            <a:gd name="connsiteX2" fmla="*/ 375987 w 512469"/>
            <a:gd name="connsiteY2" fmla="*/ 21409 h 517712"/>
            <a:gd name="connsiteX3" fmla="*/ 300790 w 512469"/>
            <a:gd name="connsiteY3" fmla="*/ 31435 h 517712"/>
            <a:gd name="connsiteX4" fmla="*/ 245645 w 512469"/>
            <a:gd name="connsiteY4" fmla="*/ 41462 h 517712"/>
            <a:gd name="connsiteX5" fmla="*/ 210553 w 512469"/>
            <a:gd name="connsiteY5" fmla="*/ 46475 h 517712"/>
            <a:gd name="connsiteX6" fmla="*/ 175461 w 512469"/>
            <a:gd name="connsiteY6" fmla="*/ 36448 h 517712"/>
            <a:gd name="connsiteX7" fmla="*/ 125329 w 512469"/>
            <a:gd name="connsiteY7" fmla="*/ 41462 h 517712"/>
            <a:gd name="connsiteX8" fmla="*/ 95250 w 512469"/>
            <a:gd name="connsiteY8" fmla="*/ 51488 h 517712"/>
            <a:gd name="connsiteX9" fmla="*/ 65171 w 512469"/>
            <a:gd name="connsiteY9" fmla="*/ 66527 h 517712"/>
            <a:gd name="connsiteX10" fmla="*/ 40106 w 512469"/>
            <a:gd name="connsiteY10" fmla="*/ 61514 h 517712"/>
            <a:gd name="connsiteX11" fmla="*/ 45119 w 512469"/>
            <a:gd name="connsiteY11" fmla="*/ 81567 h 517712"/>
            <a:gd name="connsiteX12" fmla="*/ 40106 w 512469"/>
            <a:gd name="connsiteY12" fmla="*/ 121672 h 517712"/>
            <a:gd name="connsiteX13" fmla="*/ 35092 w 512469"/>
            <a:gd name="connsiteY13" fmla="*/ 136712 h 517712"/>
            <a:gd name="connsiteX14" fmla="*/ 20053 w 512469"/>
            <a:gd name="connsiteY14" fmla="*/ 141725 h 517712"/>
            <a:gd name="connsiteX15" fmla="*/ 5013 w 512469"/>
            <a:gd name="connsiteY15" fmla="*/ 166791 h 517712"/>
            <a:gd name="connsiteX16" fmla="*/ 0 w 512469"/>
            <a:gd name="connsiteY16" fmla="*/ 181830 h 517712"/>
            <a:gd name="connsiteX17" fmla="*/ 10027 w 512469"/>
            <a:gd name="connsiteY17" fmla="*/ 247001 h 517712"/>
            <a:gd name="connsiteX18" fmla="*/ 20053 w 512469"/>
            <a:gd name="connsiteY18" fmla="*/ 262041 h 517712"/>
            <a:gd name="connsiteX19" fmla="*/ 50132 w 512469"/>
            <a:gd name="connsiteY19" fmla="*/ 272067 h 517712"/>
            <a:gd name="connsiteX20" fmla="*/ 65171 w 512469"/>
            <a:gd name="connsiteY20" fmla="*/ 277080 h 517712"/>
            <a:gd name="connsiteX21" fmla="*/ 80211 w 512469"/>
            <a:gd name="connsiteY21" fmla="*/ 282093 h 517712"/>
            <a:gd name="connsiteX22" fmla="*/ 90237 w 512469"/>
            <a:gd name="connsiteY22" fmla="*/ 292120 h 517712"/>
            <a:gd name="connsiteX23" fmla="*/ 105277 w 512469"/>
            <a:gd name="connsiteY23" fmla="*/ 302146 h 517712"/>
            <a:gd name="connsiteX24" fmla="*/ 115303 w 512469"/>
            <a:gd name="connsiteY24" fmla="*/ 332225 h 517712"/>
            <a:gd name="connsiteX25" fmla="*/ 100263 w 512469"/>
            <a:gd name="connsiteY25" fmla="*/ 337238 h 517712"/>
            <a:gd name="connsiteX26" fmla="*/ 85224 w 512469"/>
            <a:gd name="connsiteY26" fmla="*/ 367317 h 517712"/>
            <a:gd name="connsiteX27" fmla="*/ 70184 w 512469"/>
            <a:gd name="connsiteY27" fmla="*/ 377343 h 517712"/>
            <a:gd name="connsiteX28" fmla="*/ 60158 w 512469"/>
            <a:gd name="connsiteY28" fmla="*/ 387370 h 517712"/>
            <a:gd name="connsiteX29" fmla="*/ 55145 w 512469"/>
            <a:gd name="connsiteY29" fmla="*/ 432488 h 517712"/>
            <a:gd name="connsiteX30" fmla="*/ 70184 w 512469"/>
            <a:gd name="connsiteY30" fmla="*/ 442514 h 517712"/>
            <a:gd name="connsiteX31" fmla="*/ 95250 w 512469"/>
            <a:gd name="connsiteY31" fmla="*/ 492646 h 517712"/>
            <a:gd name="connsiteX32" fmla="*/ 110290 w 512469"/>
            <a:gd name="connsiteY32" fmla="*/ 507685 h 517712"/>
            <a:gd name="connsiteX33" fmla="*/ 140369 w 512469"/>
            <a:gd name="connsiteY33" fmla="*/ 517712 h 517712"/>
            <a:gd name="connsiteX34" fmla="*/ 180474 w 512469"/>
            <a:gd name="connsiteY34" fmla="*/ 512698 h 517712"/>
            <a:gd name="connsiteX35" fmla="*/ 200527 w 512469"/>
            <a:gd name="connsiteY35" fmla="*/ 507685 h 517712"/>
            <a:gd name="connsiteX36" fmla="*/ 210553 w 512469"/>
            <a:gd name="connsiteY36" fmla="*/ 492646 h 517712"/>
            <a:gd name="connsiteX37" fmla="*/ 225592 w 512469"/>
            <a:gd name="connsiteY37" fmla="*/ 482620 h 517712"/>
            <a:gd name="connsiteX38" fmla="*/ 255671 w 512469"/>
            <a:gd name="connsiteY38" fmla="*/ 472593 h 517712"/>
            <a:gd name="connsiteX39" fmla="*/ 265698 w 512469"/>
            <a:gd name="connsiteY39" fmla="*/ 462567 h 517712"/>
            <a:gd name="connsiteX40" fmla="*/ 275724 w 512469"/>
            <a:gd name="connsiteY40" fmla="*/ 447527 h 517712"/>
            <a:gd name="connsiteX41" fmla="*/ 290763 w 512469"/>
            <a:gd name="connsiteY41" fmla="*/ 442514 h 517712"/>
            <a:gd name="connsiteX42" fmla="*/ 295777 w 512469"/>
            <a:gd name="connsiteY42" fmla="*/ 427475 h 517712"/>
            <a:gd name="connsiteX43" fmla="*/ 320842 w 512469"/>
            <a:gd name="connsiteY43" fmla="*/ 407422 h 517712"/>
            <a:gd name="connsiteX44" fmla="*/ 350921 w 512469"/>
            <a:gd name="connsiteY44" fmla="*/ 397396 h 517712"/>
            <a:gd name="connsiteX45" fmla="*/ 365961 w 512469"/>
            <a:gd name="connsiteY45" fmla="*/ 392383 h 517712"/>
            <a:gd name="connsiteX46" fmla="*/ 375987 w 512469"/>
            <a:gd name="connsiteY46" fmla="*/ 382356 h 517712"/>
            <a:gd name="connsiteX47" fmla="*/ 391027 w 512469"/>
            <a:gd name="connsiteY47" fmla="*/ 372330 h 517712"/>
            <a:gd name="connsiteX48" fmla="*/ 406066 w 512469"/>
            <a:gd name="connsiteY48" fmla="*/ 347264 h 517712"/>
            <a:gd name="connsiteX49" fmla="*/ 436145 w 512469"/>
            <a:gd name="connsiteY49" fmla="*/ 337238 h 517712"/>
            <a:gd name="connsiteX50" fmla="*/ 446171 w 512469"/>
            <a:gd name="connsiteY50" fmla="*/ 322198 h 517712"/>
            <a:gd name="connsiteX51" fmla="*/ 461211 w 512469"/>
            <a:gd name="connsiteY51" fmla="*/ 317185 h 517712"/>
            <a:gd name="connsiteX52" fmla="*/ 466224 w 512469"/>
            <a:gd name="connsiteY52" fmla="*/ 302146 h 517712"/>
            <a:gd name="connsiteX53" fmla="*/ 496303 w 512469"/>
            <a:gd name="connsiteY53" fmla="*/ 287106 h 517712"/>
            <a:gd name="connsiteX54" fmla="*/ 501316 w 512469"/>
            <a:gd name="connsiteY54" fmla="*/ 272067 h 517712"/>
            <a:gd name="connsiteX55" fmla="*/ 511342 w 512469"/>
            <a:gd name="connsiteY55" fmla="*/ 257027 h 517712"/>
            <a:gd name="connsiteX56" fmla="*/ 511110 w 512469"/>
            <a:gd name="connsiteY56" fmla="*/ 198875 h 517712"/>
            <a:gd name="connsiteX57" fmla="*/ 496303 w 512469"/>
            <a:gd name="connsiteY57" fmla="*/ 151751 h 517712"/>
            <a:gd name="connsiteX58" fmla="*/ 486277 w 512469"/>
            <a:gd name="connsiteY58" fmla="*/ 121672 h 517712"/>
            <a:gd name="connsiteX59" fmla="*/ 496303 w 512469"/>
            <a:gd name="connsiteY59" fmla="*/ 31435 h 517712"/>
            <a:gd name="connsiteX60" fmla="*/ 501316 w 512469"/>
            <a:gd name="connsiteY60" fmla="*/ 1356 h 517712"/>
            <a:gd name="connsiteX0" fmla="*/ 501316 w 512469"/>
            <a:gd name="connsiteY0" fmla="*/ 1356 h 517712"/>
            <a:gd name="connsiteX1" fmla="*/ 426119 w 512469"/>
            <a:gd name="connsiteY1" fmla="*/ 6370 h 517712"/>
            <a:gd name="connsiteX2" fmla="*/ 375987 w 512469"/>
            <a:gd name="connsiteY2" fmla="*/ 21409 h 517712"/>
            <a:gd name="connsiteX3" fmla="*/ 300790 w 512469"/>
            <a:gd name="connsiteY3" fmla="*/ 31435 h 517712"/>
            <a:gd name="connsiteX4" fmla="*/ 245645 w 512469"/>
            <a:gd name="connsiteY4" fmla="*/ 41462 h 517712"/>
            <a:gd name="connsiteX5" fmla="*/ 210553 w 512469"/>
            <a:gd name="connsiteY5" fmla="*/ 46475 h 517712"/>
            <a:gd name="connsiteX6" fmla="*/ 175461 w 512469"/>
            <a:gd name="connsiteY6" fmla="*/ 36448 h 517712"/>
            <a:gd name="connsiteX7" fmla="*/ 125329 w 512469"/>
            <a:gd name="connsiteY7" fmla="*/ 41462 h 517712"/>
            <a:gd name="connsiteX8" fmla="*/ 95250 w 512469"/>
            <a:gd name="connsiteY8" fmla="*/ 51488 h 517712"/>
            <a:gd name="connsiteX9" fmla="*/ 65171 w 512469"/>
            <a:gd name="connsiteY9" fmla="*/ 66527 h 517712"/>
            <a:gd name="connsiteX10" fmla="*/ 40106 w 512469"/>
            <a:gd name="connsiteY10" fmla="*/ 61514 h 517712"/>
            <a:gd name="connsiteX11" fmla="*/ 45119 w 512469"/>
            <a:gd name="connsiteY11" fmla="*/ 81567 h 517712"/>
            <a:gd name="connsiteX12" fmla="*/ 40106 w 512469"/>
            <a:gd name="connsiteY12" fmla="*/ 121672 h 517712"/>
            <a:gd name="connsiteX13" fmla="*/ 35092 w 512469"/>
            <a:gd name="connsiteY13" fmla="*/ 136712 h 517712"/>
            <a:gd name="connsiteX14" fmla="*/ 20053 w 512469"/>
            <a:gd name="connsiteY14" fmla="*/ 141725 h 517712"/>
            <a:gd name="connsiteX15" fmla="*/ 5013 w 512469"/>
            <a:gd name="connsiteY15" fmla="*/ 166791 h 517712"/>
            <a:gd name="connsiteX16" fmla="*/ 0 w 512469"/>
            <a:gd name="connsiteY16" fmla="*/ 181830 h 517712"/>
            <a:gd name="connsiteX17" fmla="*/ 10027 w 512469"/>
            <a:gd name="connsiteY17" fmla="*/ 247001 h 517712"/>
            <a:gd name="connsiteX18" fmla="*/ 20053 w 512469"/>
            <a:gd name="connsiteY18" fmla="*/ 262041 h 517712"/>
            <a:gd name="connsiteX19" fmla="*/ 50132 w 512469"/>
            <a:gd name="connsiteY19" fmla="*/ 272067 h 517712"/>
            <a:gd name="connsiteX20" fmla="*/ 65171 w 512469"/>
            <a:gd name="connsiteY20" fmla="*/ 277080 h 517712"/>
            <a:gd name="connsiteX21" fmla="*/ 80211 w 512469"/>
            <a:gd name="connsiteY21" fmla="*/ 282093 h 517712"/>
            <a:gd name="connsiteX22" fmla="*/ 90237 w 512469"/>
            <a:gd name="connsiteY22" fmla="*/ 292120 h 517712"/>
            <a:gd name="connsiteX23" fmla="*/ 105277 w 512469"/>
            <a:gd name="connsiteY23" fmla="*/ 302146 h 517712"/>
            <a:gd name="connsiteX24" fmla="*/ 115303 w 512469"/>
            <a:gd name="connsiteY24" fmla="*/ 332225 h 517712"/>
            <a:gd name="connsiteX25" fmla="*/ 100263 w 512469"/>
            <a:gd name="connsiteY25" fmla="*/ 337238 h 517712"/>
            <a:gd name="connsiteX26" fmla="*/ 85224 w 512469"/>
            <a:gd name="connsiteY26" fmla="*/ 367317 h 517712"/>
            <a:gd name="connsiteX27" fmla="*/ 70184 w 512469"/>
            <a:gd name="connsiteY27" fmla="*/ 377343 h 517712"/>
            <a:gd name="connsiteX28" fmla="*/ 60158 w 512469"/>
            <a:gd name="connsiteY28" fmla="*/ 387370 h 517712"/>
            <a:gd name="connsiteX29" fmla="*/ 55145 w 512469"/>
            <a:gd name="connsiteY29" fmla="*/ 432488 h 517712"/>
            <a:gd name="connsiteX30" fmla="*/ 70184 w 512469"/>
            <a:gd name="connsiteY30" fmla="*/ 442514 h 517712"/>
            <a:gd name="connsiteX31" fmla="*/ 95250 w 512469"/>
            <a:gd name="connsiteY31" fmla="*/ 492646 h 517712"/>
            <a:gd name="connsiteX32" fmla="*/ 110290 w 512469"/>
            <a:gd name="connsiteY32" fmla="*/ 507685 h 517712"/>
            <a:gd name="connsiteX33" fmla="*/ 140369 w 512469"/>
            <a:gd name="connsiteY33" fmla="*/ 517712 h 517712"/>
            <a:gd name="connsiteX34" fmla="*/ 180474 w 512469"/>
            <a:gd name="connsiteY34" fmla="*/ 512698 h 517712"/>
            <a:gd name="connsiteX35" fmla="*/ 200527 w 512469"/>
            <a:gd name="connsiteY35" fmla="*/ 507685 h 517712"/>
            <a:gd name="connsiteX36" fmla="*/ 210553 w 512469"/>
            <a:gd name="connsiteY36" fmla="*/ 492646 h 517712"/>
            <a:gd name="connsiteX37" fmla="*/ 225592 w 512469"/>
            <a:gd name="connsiteY37" fmla="*/ 482620 h 517712"/>
            <a:gd name="connsiteX38" fmla="*/ 255671 w 512469"/>
            <a:gd name="connsiteY38" fmla="*/ 472593 h 517712"/>
            <a:gd name="connsiteX39" fmla="*/ 265698 w 512469"/>
            <a:gd name="connsiteY39" fmla="*/ 462567 h 517712"/>
            <a:gd name="connsiteX40" fmla="*/ 275724 w 512469"/>
            <a:gd name="connsiteY40" fmla="*/ 447527 h 517712"/>
            <a:gd name="connsiteX41" fmla="*/ 290763 w 512469"/>
            <a:gd name="connsiteY41" fmla="*/ 442514 h 517712"/>
            <a:gd name="connsiteX42" fmla="*/ 295777 w 512469"/>
            <a:gd name="connsiteY42" fmla="*/ 427475 h 517712"/>
            <a:gd name="connsiteX43" fmla="*/ 320842 w 512469"/>
            <a:gd name="connsiteY43" fmla="*/ 407422 h 517712"/>
            <a:gd name="connsiteX44" fmla="*/ 350921 w 512469"/>
            <a:gd name="connsiteY44" fmla="*/ 397396 h 517712"/>
            <a:gd name="connsiteX45" fmla="*/ 365961 w 512469"/>
            <a:gd name="connsiteY45" fmla="*/ 392383 h 517712"/>
            <a:gd name="connsiteX46" fmla="*/ 375987 w 512469"/>
            <a:gd name="connsiteY46" fmla="*/ 382356 h 517712"/>
            <a:gd name="connsiteX47" fmla="*/ 391027 w 512469"/>
            <a:gd name="connsiteY47" fmla="*/ 372330 h 517712"/>
            <a:gd name="connsiteX48" fmla="*/ 406066 w 512469"/>
            <a:gd name="connsiteY48" fmla="*/ 347264 h 517712"/>
            <a:gd name="connsiteX49" fmla="*/ 436145 w 512469"/>
            <a:gd name="connsiteY49" fmla="*/ 337238 h 517712"/>
            <a:gd name="connsiteX50" fmla="*/ 446171 w 512469"/>
            <a:gd name="connsiteY50" fmla="*/ 322198 h 517712"/>
            <a:gd name="connsiteX51" fmla="*/ 461211 w 512469"/>
            <a:gd name="connsiteY51" fmla="*/ 317185 h 517712"/>
            <a:gd name="connsiteX52" fmla="*/ 473395 w 512469"/>
            <a:gd name="connsiteY52" fmla="*/ 316434 h 517712"/>
            <a:gd name="connsiteX53" fmla="*/ 496303 w 512469"/>
            <a:gd name="connsiteY53" fmla="*/ 287106 h 517712"/>
            <a:gd name="connsiteX54" fmla="*/ 501316 w 512469"/>
            <a:gd name="connsiteY54" fmla="*/ 272067 h 517712"/>
            <a:gd name="connsiteX55" fmla="*/ 511342 w 512469"/>
            <a:gd name="connsiteY55" fmla="*/ 257027 h 517712"/>
            <a:gd name="connsiteX56" fmla="*/ 511110 w 512469"/>
            <a:gd name="connsiteY56" fmla="*/ 198875 h 517712"/>
            <a:gd name="connsiteX57" fmla="*/ 496303 w 512469"/>
            <a:gd name="connsiteY57" fmla="*/ 151751 h 517712"/>
            <a:gd name="connsiteX58" fmla="*/ 486277 w 512469"/>
            <a:gd name="connsiteY58" fmla="*/ 121672 h 517712"/>
            <a:gd name="connsiteX59" fmla="*/ 496303 w 512469"/>
            <a:gd name="connsiteY59" fmla="*/ 31435 h 517712"/>
            <a:gd name="connsiteX60" fmla="*/ 501316 w 512469"/>
            <a:gd name="connsiteY60" fmla="*/ 1356 h 517712"/>
            <a:gd name="connsiteX0" fmla="*/ 501316 w 512469"/>
            <a:gd name="connsiteY0" fmla="*/ 1356 h 517712"/>
            <a:gd name="connsiteX1" fmla="*/ 426119 w 512469"/>
            <a:gd name="connsiteY1" fmla="*/ 6370 h 517712"/>
            <a:gd name="connsiteX2" fmla="*/ 375987 w 512469"/>
            <a:gd name="connsiteY2" fmla="*/ 21409 h 517712"/>
            <a:gd name="connsiteX3" fmla="*/ 300790 w 512469"/>
            <a:gd name="connsiteY3" fmla="*/ 31435 h 517712"/>
            <a:gd name="connsiteX4" fmla="*/ 245645 w 512469"/>
            <a:gd name="connsiteY4" fmla="*/ 41462 h 517712"/>
            <a:gd name="connsiteX5" fmla="*/ 210553 w 512469"/>
            <a:gd name="connsiteY5" fmla="*/ 46475 h 517712"/>
            <a:gd name="connsiteX6" fmla="*/ 175461 w 512469"/>
            <a:gd name="connsiteY6" fmla="*/ 36448 h 517712"/>
            <a:gd name="connsiteX7" fmla="*/ 125329 w 512469"/>
            <a:gd name="connsiteY7" fmla="*/ 41462 h 517712"/>
            <a:gd name="connsiteX8" fmla="*/ 95250 w 512469"/>
            <a:gd name="connsiteY8" fmla="*/ 51488 h 517712"/>
            <a:gd name="connsiteX9" fmla="*/ 65171 w 512469"/>
            <a:gd name="connsiteY9" fmla="*/ 66527 h 517712"/>
            <a:gd name="connsiteX10" fmla="*/ 40106 w 512469"/>
            <a:gd name="connsiteY10" fmla="*/ 61514 h 517712"/>
            <a:gd name="connsiteX11" fmla="*/ 45119 w 512469"/>
            <a:gd name="connsiteY11" fmla="*/ 81567 h 517712"/>
            <a:gd name="connsiteX12" fmla="*/ 40106 w 512469"/>
            <a:gd name="connsiteY12" fmla="*/ 121672 h 517712"/>
            <a:gd name="connsiteX13" fmla="*/ 35092 w 512469"/>
            <a:gd name="connsiteY13" fmla="*/ 136712 h 517712"/>
            <a:gd name="connsiteX14" fmla="*/ 20053 w 512469"/>
            <a:gd name="connsiteY14" fmla="*/ 141725 h 517712"/>
            <a:gd name="connsiteX15" fmla="*/ 5013 w 512469"/>
            <a:gd name="connsiteY15" fmla="*/ 166791 h 517712"/>
            <a:gd name="connsiteX16" fmla="*/ 0 w 512469"/>
            <a:gd name="connsiteY16" fmla="*/ 181830 h 517712"/>
            <a:gd name="connsiteX17" fmla="*/ 10027 w 512469"/>
            <a:gd name="connsiteY17" fmla="*/ 247001 h 517712"/>
            <a:gd name="connsiteX18" fmla="*/ 20053 w 512469"/>
            <a:gd name="connsiteY18" fmla="*/ 262041 h 517712"/>
            <a:gd name="connsiteX19" fmla="*/ 50132 w 512469"/>
            <a:gd name="connsiteY19" fmla="*/ 272067 h 517712"/>
            <a:gd name="connsiteX20" fmla="*/ 65171 w 512469"/>
            <a:gd name="connsiteY20" fmla="*/ 277080 h 517712"/>
            <a:gd name="connsiteX21" fmla="*/ 80211 w 512469"/>
            <a:gd name="connsiteY21" fmla="*/ 282093 h 517712"/>
            <a:gd name="connsiteX22" fmla="*/ 90237 w 512469"/>
            <a:gd name="connsiteY22" fmla="*/ 292120 h 517712"/>
            <a:gd name="connsiteX23" fmla="*/ 105277 w 512469"/>
            <a:gd name="connsiteY23" fmla="*/ 302146 h 517712"/>
            <a:gd name="connsiteX24" fmla="*/ 115303 w 512469"/>
            <a:gd name="connsiteY24" fmla="*/ 332225 h 517712"/>
            <a:gd name="connsiteX25" fmla="*/ 100263 w 512469"/>
            <a:gd name="connsiteY25" fmla="*/ 337238 h 517712"/>
            <a:gd name="connsiteX26" fmla="*/ 85224 w 512469"/>
            <a:gd name="connsiteY26" fmla="*/ 367317 h 517712"/>
            <a:gd name="connsiteX27" fmla="*/ 70184 w 512469"/>
            <a:gd name="connsiteY27" fmla="*/ 377343 h 517712"/>
            <a:gd name="connsiteX28" fmla="*/ 60158 w 512469"/>
            <a:gd name="connsiteY28" fmla="*/ 387370 h 517712"/>
            <a:gd name="connsiteX29" fmla="*/ 55145 w 512469"/>
            <a:gd name="connsiteY29" fmla="*/ 432488 h 517712"/>
            <a:gd name="connsiteX30" fmla="*/ 70184 w 512469"/>
            <a:gd name="connsiteY30" fmla="*/ 442514 h 517712"/>
            <a:gd name="connsiteX31" fmla="*/ 95250 w 512469"/>
            <a:gd name="connsiteY31" fmla="*/ 492646 h 517712"/>
            <a:gd name="connsiteX32" fmla="*/ 110290 w 512469"/>
            <a:gd name="connsiteY32" fmla="*/ 507685 h 517712"/>
            <a:gd name="connsiteX33" fmla="*/ 140369 w 512469"/>
            <a:gd name="connsiteY33" fmla="*/ 517712 h 517712"/>
            <a:gd name="connsiteX34" fmla="*/ 180474 w 512469"/>
            <a:gd name="connsiteY34" fmla="*/ 512698 h 517712"/>
            <a:gd name="connsiteX35" fmla="*/ 200527 w 512469"/>
            <a:gd name="connsiteY35" fmla="*/ 507685 h 517712"/>
            <a:gd name="connsiteX36" fmla="*/ 210553 w 512469"/>
            <a:gd name="connsiteY36" fmla="*/ 492646 h 517712"/>
            <a:gd name="connsiteX37" fmla="*/ 225592 w 512469"/>
            <a:gd name="connsiteY37" fmla="*/ 482620 h 517712"/>
            <a:gd name="connsiteX38" fmla="*/ 255671 w 512469"/>
            <a:gd name="connsiteY38" fmla="*/ 472593 h 517712"/>
            <a:gd name="connsiteX39" fmla="*/ 265698 w 512469"/>
            <a:gd name="connsiteY39" fmla="*/ 462567 h 517712"/>
            <a:gd name="connsiteX40" fmla="*/ 275724 w 512469"/>
            <a:gd name="connsiteY40" fmla="*/ 447527 h 517712"/>
            <a:gd name="connsiteX41" fmla="*/ 290763 w 512469"/>
            <a:gd name="connsiteY41" fmla="*/ 442514 h 517712"/>
            <a:gd name="connsiteX42" fmla="*/ 295777 w 512469"/>
            <a:gd name="connsiteY42" fmla="*/ 427475 h 517712"/>
            <a:gd name="connsiteX43" fmla="*/ 320842 w 512469"/>
            <a:gd name="connsiteY43" fmla="*/ 407422 h 517712"/>
            <a:gd name="connsiteX44" fmla="*/ 350921 w 512469"/>
            <a:gd name="connsiteY44" fmla="*/ 397396 h 517712"/>
            <a:gd name="connsiteX45" fmla="*/ 365961 w 512469"/>
            <a:gd name="connsiteY45" fmla="*/ 392383 h 517712"/>
            <a:gd name="connsiteX46" fmla="*/ 375987 w 512469"/>
            <a:gd name="connsiteY46" fmla="*/ 382356 h 517712"/>
            <a:gd name="connsiteX47" fmla="*/ 391027 w 512469"/>
            <a:gd name="connsiteY47" fmla="*/ 372330 h 517712"/>
            <a:gd name="connsiteX48" fmla="*/ 408457 w 512469"/>
            <a:gd name="connsiteY48" fmla="*/ 354408 h 517712"/>
            <a:gd name="connsiteX49" fmla="*/ 436145 w 512469"/>
            <a:gd name="connsiteY49" fmla="*/ 337238 h 517712"/>
            <a:gd name="connsiteX50" fmla="*/ 446171 w 512469"/>
            <a:gd name="connsiteY50" fmla="*/ 322198 h 517712"/>
            <a:gd name="connsiteX51" fmla="*/ 461211 w 512469"/>
            <a:gd name="connsiteY51" fmla="*/ 317185 h 517712"/>
            <a:gd name="connsiteX52" fmla="*/ 473395 w 512469"/>
            <a:gd name="connsiteY52" fmla="*/ 316434 h 517712"/>
            <a:gd name="connsiteX53" fmla="*/ 496303 w 512469"/>
            <a:gd name="connsiteY53" fmla="*/ 287106 h 517712"/>
            <a:gd name="connsiteX54" fmla="*/ 501316 w 512469"/>
            <a:gd name="connsiteY54" fmla="*/ 272067 h 517712"/>
            <a:gd name="connsiteX55" fmla="*/ 511342 w 512469"/>
            <a:gd name="connsiteY55" fmla="*/ 257027 h 517712"/>
            <a:gd name="connsiteX56" fmla="*/ 511110 w 512469"/>
            <a:gd name="connsiteY56" fmla="*/ 198875 h 517712"/>
            <a:gd name="connsiteX57" fmla="*/ 496303 w 512469"/>
            <a:gd name="connsiteY57" fmla="*/ 151751 h 517712"/>
            <a:gd name="connsiteX58" fmla="*/ 486277 w 512469"/>
            <a:gd name="connsiteY58" fmla="*/ 121672 h 517712"/>
            <a:gd name="connsiteX59" fmla="*/ 496303 w 512469"/>
            <a:gd name="connsiteY59" fmla="*/ 31435 h 517712"/>
            <a:gd name="connsiteX60" fmla="*/ 501316 w 512469"/>
            <a:gd name="connsiteY60" fmla="*/ 1356 h 517712"/>
            <a:gd name="connsiteX0" fmla="*/ 501316 w 512469"/>
            <a:gd name="connsiteY0" fmla="*/ 1356 h 517712"/>
            <a:gd name="connsiteX1" fmla="*/ 426119 w 512469"/>
            <a:gd name="connsiteY1" fmla="*/ 6370 h 517712"/>
            <a:gd name="connsiteX2" fmla="*/ 375987 w 512469"/>
            <a:gd name="connsiteY2" fmla="*/ 21409 h 517712"/>
            <a:gd name="connsiteX3" fmla="*/ 300790 w 512469"/>
            <a:gd name="connsiteY3" fmla="*/ 31435 h 517712"/>
            <a:gd name="connsiteX4" fmla="*/ 245645 w 512469"/>
            <a:gd name="connsiteY4" fmla="*/ 41462 h 517712"/>
            <a:gd name="connsiteX5" fmla="*/ 210553 w 512469"/>
            <a:gd name="connsiteY5" fmla="*/ 46475 h 517712"/>
            <a:gd name="connsiteX6" fmla="*/ 175461 w 512469"/>
            <a:gd name="connsiteY6" fmla="*/ 36448 h 517712"/>
            <a:gd name="connsiteX7" fmla="*/ 125329 w 512469"/>
            <a:gd name="connsiteY7" fmla="*/ 41462 h 517712"/>
            <a:gd name="connsiteX8" fmla="*/ 95250 w 512469"/>
            <a:gd name="connsiteY8" fmla="*/ 51488 h 517712"/>
            <a:gd name="connsiteX9" fmla="*/ 65171 w 512469"/>
            <a:gd name="connsiteY9" fmla="*/ 66527 h 517712"/>
            <a:gd name="connsiteX10" fmla="*/ 40106 w 512469"/>
            <a:gd name="connsiteY10" fmla="*/ 61514 h 517712"/>
            <a:gd name="connsiteX11" fmla="*/ 45119 w 512469"/>
            <a:gd name="connsiteY11" fmla="*/ 81567 h 517712"/>
            <a:gd name="connsiteX12" fmla="*/ 40106 w 512469"/>
            <a:gd name="connsiteY12" fmla="*/ 121672 h 517712"/>
            <a:gd name="connsiteX13" fmla="*/ 35092 w 512469"/>
            <a:gd name="connsiteY13" fmla="*/ 136712 h 517712"/>
            <a:gd name="connsiteX14" fmla="*/ 20053 w 512469"/>
            <a:gd name="connsiteY14" fmla="*/ 141725 h 517712"/>
            <a:gd name="connsiteX15" fmla="*/ 5013 w 512469"/>
            <a:gd name="connsiteY15" fmla="*/ 166791 h 517712"/>
            <a:gd name="connsiteX16" fmla="*/ 0 w 512469"/>
            <a:gd name="connsiteY16" fmla="*/ 181830 h 517712"/>
            <a:gd name="connsiteX17" fmla="*/ 10027 w 512469"/>
            <a:gd name="connsiteY17" fmla="*/ 247001 h 517712"/>
            <a:gd name="connsiteX18" fmla="*/ 20053 w 512469"/>
            <a:gd name="connsiteY18" fmla="*/ 262041 h 517712"/>
            <a:gd name="connsiteX19" fmla="*/ 50132 w 512469"/>
            <a:gd name="connsiteY19" fmla="*/ 272067 h 517712"/>
            <a:gd name="connsiteX20" fmla="*/ 65171 w 512469"/>
            <a:gd name="connsiteY20" fmla="*/ 277080 h 517712"/>
            <a:gd name="connsiteX21" fmla="*/ 80211 w 512469"/>
            <a:gd name="connsiteY21" fmla="*/ 282093 h 517712"/>
            <a:gd name="connsiteX22" fmla="*/ 90237 w 512469"/>
            <a:gd name="connsiteY22" fmla="*/ 292120 h 517712"/>
            <a:gd name="connsiteX23" fmla="*/ 105277 w 512469"/>
            <a:gd name="connsiteY23" fmla="*/ 302146 h 517712"/>
            <a:gd name="connsiteX24" fmla="*/ 115303 w 512469"/>
            <a:gd name="connsiteY24" fmla="*/ 332225 h 517712"/>
            <a:gd name="connsiteX25" fmla="*/ 100263 w 512469"/>
            <a:gd name="connsiteY25" fmla="*/ 337238 h 517712"/>
            <a:gd name="connsiteX26" fmla="*/ 85224 w 512469"/>
            <a:gd name="connsiteY26" fmla="*/ 367317 h 517712"/>
            <a:gd name="connsiteX27" fmla="*/ 70184 w 512469"/>
            <a:gd name="connsiteY27" fmla="*/ 377343 h 517712"/>
            <a:gd name="connsiteX28" fmla="*/ 60158 w 512469"/>
            <a:gd name="connsiteY28" fmla="*/ 387370 h 517712"/>
            <a:gd name="connsiteX29" fmla="*/ 55145 w 512469"/>
            <a:gd name="connsiteY29" fmla="*/ 432488 h 517712"/>
            <a:gd name="connsiteX30" fmla="*/ 70184 w 512469"/>
            <a:gd name="connsiteY30" fmla="*/ 442514 h 517712"/>
            <a:gd name="connsiteX31" fmla="*/ 95250 w 512469"/>
            <a:gd name="connsiteY31" fmla="*/ 492646 h 517712"/>
            <a:gd name="connsiteX32" fmla="*/ 110290 w 512469"/>
            <a:gd name="connsiteY32" fmla="*/ 507685 h 517712"/>
            <a:gd name="connsiteX33" fmla="*/ 140369 w 512469"/>
            <a:gd name="connsiteY33" fmla="*/ 517712 h 517712"/>
            <a:gd name="connsiteX34" fmla="*/ 180474 w 512469"/>
            <a:gd name="connsiteY34" fmla="*/ 512698 h 517712"/>
            <a:gd name="connsiteX35" fmla="*/ 200527 w 512469"/>
            <a:gd name="connsiteY35" fmla="*/ 507685 h 517712"/>
            <a:gd name="connsiteX36" fmla="*/ 212944 w 512469"/>
            <a:gd name="connsiteY36" fmla="*/ 499790 h 517712"/>
            <a:gd name="connsiteX37" fmla="*/ 225592 w 512469"/>
            <a:gd name="connsiteY37" fmla="*/ 482620 h 517712"/>
            <a:gd name="connsiteX38" fmla="*/ 255671 w 512469"/>
            <a:gd name="connsiteY38" fmla="*/ 472593 h 517712"/>
            <a:gd name="connsiteX39" fmla="*/ 265698 w 512469"/>
            <a:gd name="connsiteY39" fmla="*/ 462567 h 517712"/>
            <a:gd name="connsiteX40" fmla="*/ 275724 w 512469"/>
            <a:gd name="connsiteY40" fmla="*/ 447527 h 517712"/>
            <a:gd name="connsiteX41" fmla="*/ 290763 w 512469"/>
            <a:gd name="connsiteY41" fmla="*/ 442514 h 517712"/>
            <a:gd name="connsiteX42" fmla="*/ 295777 w 512469"/>
            <a:gd name="connsiteY42" fmla="*/ 427475 h 517712"/>
            <a:gd name="connsiteX43" fmla="*/ 320842 w 512469"/>
            <a:gd name="connsiteY43" fmla="*/ 407422 h 517712"/>
            <a:gd name="connsiteX44" fmla="*/ 350921 w 512469"/>
            <a:gd name="connsiteY44" fmla="*/ 397396 h 517712"/>
            <a:gd name="connsiteX45" fmla="*/ 365961 w 512469"/>
            <a:gd name="connsiteY45" fmla="*/ 392383 h 517712"/>
            <a:gd name="connsiteX46" fmla="*/ 375987 w 512469"/>
            <a:gd name="connsiteY46" fmla="*/ 382356 h 517712"/>
            <a:gd name="connsiteX47" fmla="*/ 391027 w 512469"/>
            <a:gd name="connsiteY47" fmla="*/ 372330 h 517712"/>
            <a:gd name="connsiteX48" fmla="*/ 408457 w 512469"/>
            <a:gd name="connsiteY48" fmla="*/ 354408 h 517712"/>
            <a:gd name="connsiteX49" fmla="*/ 436145 w 512469"/>
            <a:gd name="connsiteY49" fmla="*/ 337238 h 517712"/>
            <a:gd name="connsiteX50" fmla="*/ 446171 w 512469"/>
            <a:gd name="connsiteY50" fmla="*/ 322198 h 517712"/>
            <a:gd name="connsiteX51" fmla="*/ 461211 w 512469"/>
            <a:gd name="connsiteY51" fmla="*/ 317185 h 517712"/>
            <a:gd name="connsiteX52" fmla="*/ 473395 w 512469"/>
            <a:gd name="connsiteY52" fmla="*/ 316434 h 517712"/>
            <a:gd name="connsiteX53" fmla="*/ 496303 w 512469"/>
            <a:gd name="connsiteY53" fmla="*/ 287106 h 517712"/>
            <a:gd name="connsiteX54" fmla="*/ 501316 w 512469"/>
            <a:gd name="connsiteY54" fmla="*/ 272067 h 517712"/>
            <a:gd name="connsiteX55" fmla="*/ 511342 w 512469"/>
            <a:gd name="connsiteY55" fmla="*/ 257027 h 517712"/>
            <a:gd name="connsiteX56" fmla="*/ 511110 w 512469"/>
            <a:gd name="connsiteY56" fmla="*/ 198875 h 517712"/>
            <a:gd name="connsiteX57" fmla="*/ 496303 w 512469"/>
            <a:gd name="connsiteY57" fmla="*/ 151751 h 517712"/>
            <a:gd name="connsiteX58" fmla="*/ 486277 w 512469"/>
            <a:gd name="connsiteY58" fmla="*/ 121672 h 517712"/>
            <a:gd name="connsiteX59" fmla="*/ 496303 w 512469"/>
            <a:gd name="connsiteY59" fmla="*/ 31435 h 517712"/>
            <a:gd name="connsiteX60" fmla="*/ 501316 w 512469"/>
            <a:gd name="connsiteY60" fmla="*/ 1356 h 517712"/>
            <a:gd name="connsiteX0" fmla="*/ 501316 w 512469"/>
            <a:gd name="connsiteY0" fmla="*/ 1356 h 517712"/>
            <a:gd name="connsiteX1" fmla="*/ 426119 w 512469"/>
            <a:gd name="connsiteY1" fmla="*/ 6370 h 517712"/>
            <a:gd name="connsiteX2" fmla="*/ 375987 w 512469"/>
            <a:gd name="connsiteY2" fmla="*/ 21409 h 517712"/>
            <a:gd name="connsiteX3" fmla="*/ 300790 w 512469"/>
            <a:gd name="connsiteY3" fmla="*/ 31435 h 517712"/>
            <a:gd name="connsiteX4" fmla="*/ 245645 w 512469"/>
            <a:gd name="connsiteY4" fmla="*/ 41462 h 517712"/>
            <a:gd name="connsiteX5" fmla="*/ 210553 w 512469"/>
            <a:gd name="connsiteY5" fmla="*/ 46475 h 517712"/>
            <a:gd name="connsiteX6" fmla="*/ 175461 w 512469"/>
            <a:gd name="connsiteY6" fmla="*/ 36448 h 517712"/>
            <a:gd name="connsiteX7" fmla="*/ 125329 w 512469"/>
            <a:gd name="connsiteY7" fmla="*/ 41462 h 517712"/>
            <a:gd name="connsiteX8" fmla="*/ 95250 w 512469"/>
            <a:gd name="connsiteY8" fmla="*/ 51488 h 517712"/>
            <a:gd name="connsiteX9" fmla="*/ 65171 w 512469"/>
            <a:gd name="connsiteY9" fmla="*/ 66527 h 517712"/>
            <a:gd name="connsiteX10" fmla="*/ 40106 w 512469"/>
            <a:gd name="connsiteY10" fmla="*/ 61514 h 517712"/>
            <a:gd name="connsiteX11" fmla="*/ 45119 w 512469"/>
            <a:gd name="connsiteY11" fmla="*/ 81567 h 517712"/>
            <a:gd name="connsiteX12" fmla="*/ 40106 w 512469"/>
            <a:gd name="connsiteY12" fmla="*/ 121672 h 517712"/>
            <a:gd name="connsiteX13" fmla="*/ 35092 w 512469"/>
            <a:gd name="connsiteY13" fmla="*/ 136712 h 517712"/>
            <a:gd name="connsiteX14" fmla="*/ 20053 w 512469"/>
            <a:gd name="connsiteY14" fmla="*/ 141725 h 517712"/>
            <a:gd name="connsiteX15" fmla="*/ 5013 w 512469"/>
            <a:gd name="connsiteY15" fmla="*/ 166791 h 517712"/>
            <a:gd name="connsiteX16" fmla="*/ 0 w 512469"/>
            <a:gd name="connsiteY16" fmla="*/ 181830 h 517712"/>
            <a:gd name="connsiteX17" fmla="*/ 10027 w 512469"/>
            <a:gd name="connsiteY17" fmla="*/ 247001 h 517712"/>
            <a:gd name="connsiteX18" fmla="*/ 20053 w 512469"/>
            <a:gd name="connsiteY18" fmla="*/ 262041 h 517712"/>
            <a:gd name="connsiteX19" fmla="*/ 50132 w 512469"/>
            <a:gd name="connsiteY19" fmla="*/ 272067 h 517712"/>
            <a:gd name="connsiteX20" fmla="*/ 65171 w 512469"/>
            <a:gd name="connsiteY20" fmla="*/ 277080 h 517712"/>
            <a:gd name="connsiteX21" fmla="*/ 80211 w 512469"/>
            <a:gd name="connsiteY21" fmla="*/ 282093 h 517712"/>
            <a:gd name="connsiteX22" fmla="*/ 90237 w 512469"/>
            <a:gd name="connsiteY22" fmla="*/ 292120 h 517712"/>
            <a:gd name="connsiteX23" fmla="*/ 105277 w 512469"/>
            <a:gd name="connsiteY23" fmla="*/ 302146 h 517712"/>
            <a:gd name="connsiteX24" fmla="*/ 115303 w 512469"/>
            <a:gd name="connsiteY24" fmla="*/ 332225 h 517712"/>
            <a:gd name="connsiteX25" fmla="*/ 100263 w 512469"/>
            <a:gd name="connsiteY25" fmla="*/ 337238 h 517712"/>
            <a:gd name="connsiteX26" fmla="*/ 85224 w 512469"/>
            <a:gd name="connsiteY26" fmla="*/ 367317 h 517712"/>
            <a:gd name="connsiteX27" fmla="*/ 70184 w 512469"/>
            <a:gd name="connsiteY27" fmla="*/ 377343 h 517712"/>
            <a:gd name="connsiteX28" fmla="*/ 60158 w 512469"/>
            <a:gd name="connsiteY28" fmla="*/ 387370 h 517712"/>
            <a:gd name="connsiteX29" fmla="*/ 55145 w 512469"/>
            <a:gd name="connsiteY29" fmla="*/ 432488 h 517712"/>
            <a:gd name="connsiteX30" fmla="*/ 70184 w 512469"/>
            <a:gd name="connsiteY30" fmla="*/ 442514 h 517712"/>
            <a:gd name="connsiteX31" fmla="*/ 95250 w 512469"/>
            <a:gd name="connsiteY31" fmla="*/ 492646 h 517712"/>
            <a:gd name="connsiteX32" fmla="*/ 110290 w 512469"/>
            <a:gd name="connsiteY32" fmla="*/ 507685 h 517712"/>
            <a:gd name="connsiteX33" fmla="*/ 140369 w 512469"/>
            <a:gd name="connsiteY33" fmla="*/ 517712 h 517712"/>
            <a:gd name="connsiteX34" fmla="*/ 180474 w 512469"/>
            <a:gd name="connsiteY34" fmla="*/ 512698 h 517712"/>
            <a:gd name="connsiteX35" fmla="*/ 200527 w 512469"/>
            <a:gd name="connsiteY35" fmla="*/ 507685 h 517712"/>
            <a:gd name="connsiteX36" fmla="*/ 212944 w 512469"/>
            <a:gd name="connsiteY36" fmla="*/ 499790 h 517712"/>
            <a:gd name="connsiteX37" fmla="*/ 230374 w 512469"/>
            <a:gd name="connsiteY37" fmla="*/ 489763 h 517712"/>
            <a:gd name="connsiteX38" fmla="*/ 255671 w 512469"/>
            <a:gd name="connsiteY38" fmla="*/ 472593 h 517712"/>
            <a:gd name="connsiteX39" fmla="*/ 265698 w 512469"/>
            <a:gd name="connsiteY39" fmla="*/ 462567 h 517712"/>
            <a:gd name="connsiteX40" fmla="*/ 275724 w 512469"/>
            <a:gd name="connsiteY40" fmla="*/ 447527 h 517712"/>
            <a:gd name="connsiteX41" fmla="*/ 290763 w 512469"/>
            <a:gd name="connsiteY41" fmla="*/ 442514 h 517712"/>
            <a:gd name="connsiteX42" fmla="*/ 295777 w 512469"/>
            <a:gd name="connsiteY42" fmla="*/ 427475 h 517712"/>
            <a:gd name="connsiteX43" fmla="*/ 320842 w 512469"/>
            <a:gd name="connsiteY43" fmla="*/ 407422 h 517712"/>
            <a:gd name="connsiteX44" fmla="*/ 350921 w 512469"/>
            <a:gd name="connsiteY44" fmla="*/ 397396 h 517712"/>
            <a:gd name="connsiteX45" fmla="*/ 365961 w 512469"/>
            <a:gd name="connsiteY45" fmla="*/ 392383 h 517712"/>
            <a:gd name="connsiteX46" fmla="*/ 375987 w 512469"/>
            <a:gd name="connsiteY46" fmla="*/ 382356 h 517712"/>
            <a:gd name="connsiteX47" fmla="*/ 391027 w 512469"/>
            <a:gd name="connsiteY47" fmla="*/ 372330 h 517712"/>
            <a:gd name="connsiteX48" fmla="*/ 408457 w 512469"/>
            <a:gd name="connsiteY48" fmla="*/ 354408 h 517712"/>
            <a:gd name="connsiteX49" fmla="*/ 436145 w 512469"/>
            <a:gd name="connsiteY49" fmla="*/ 337238 h 517712"/>
            <a:gd name="connsiteX50" fmla="*/ 446171 w 512469"/>
            <a:gd name="connsiteY50" fmla="*/ 322198 h 517712"/>
            <a:gd name="connsiteX51" fmla="*/ 461211 w 512469"/>
            <a:gd name="connsiteY51" fmla="*/ 317185 h 517712"/>
            <a:gd name="connsiteX52" fmla="*/ 473395 w 512469"/>
            <a:gd name="connsiteY52" fmla="*/ 316434 h 517712"/>
            <a:gd name="connsiteX53" fmla="*/ 496303 w 512469"/>
            <a:gd name="connsiteY53" fmla="*/ 287106 h 517712"/>
            <a:gd name="connsiteX54" fmla="*/ 501316 w 512469"/>
            <a:gd name="connsiteY54" fmla="*/ 272067 h 517712"/>
            <a:gd name="connsiteX55" fmla="*/ 511342 w 512469"/>
            <a:gd name="connsiteY55" fmla="*/ 257027 h 517712"/>
            <a:gd name="connsiteX56" fmla="*/ 511110 w 512469"/>
            <a:gd name="connsiteY56" fmla="*/ 198875 h 517712"/>
            <a:gd name="connsiteX57" fmla="*/ 496303 w 512469"/>
            <a:gd name="connsiteY57" fmla="*/ 151751 h 517712"/>
            <a:gd name="connsiteX58" fmla="*/ 486277 w 512469"/>
            <a:gd name="connsiteY58" fmla="*/ 121672 h 517712"/>
            <a:gd name="connsiteX59" fmla="*/ 496303 w 512469"/>
            <a:gd name="connsiteY59" fmla="*/ 31435 h 517712"/>
            <a:gd name="connsiteX60" fmla="*/ 501316 w 512469"/>
            <a:gd name="connsiteY60" fmla="*/ 1356 h 51771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</a:cxnLst>
          <a:rect l="l" t="t" r="r" b="b"/>
          <a:pathLst>
            <a:path w="512469" h="517712">
              <a:moveTo>
                <a:pt x="501316" y="1356"/>
              </a:moveTo>
              <a:cubicBezTo>
                <a:pt x="489619" y="-2821"/>
                <a:pt x="451102" y="3740"/>
                <a:pt x="426119" y="6370"/>
              </a:cubicBezTo>
              <a:cubicBezTo>
                <a:pt x="412373" y="7817"/>
                <a:pt x="387201" y="18606"/>
                <a:pt x="375987" y="21409"/>
              </a:cubicBezTo>
              <a:cubicBezTo>
                <a:pt x="338028" y="30898"/>
                <a:pt x="362796" y="25798"/>
                <a:pt x="300790" y="31435"/>
              </a:cubicBezTo>
              <a:cubicBezTo>
                <a:pt x="272229" y="40955"/>
                <a:pt x="292881" y="35163"/>
                <a:pt x="245645" y="41462"/>
              </a:cubicBezTo>
              <a:lnTo>
                <a:pt x="210553" y="46475"/>
              </a:lnTo>
              <a:cubicBezTo>
                <a:pt x="203465" y="44112"/>
                <a:pt x="181751" y="36448"/>
                <a:pt x="175461" y="36448"/>
              </a:cubicBezTo>
              <a:cubicBezTo>
                <a:pt x="158667" y="36448"/>
                <a:pt x="142040" y="39791"/>
                <a:pt x="125329" y="41462"/>
              </a:cubicBezTo>
              <a:cubicBezTo>
                <a:pt x="115303" y="44804"/>
                <a:pt x="104044" y="45626"/>
                <a:pt x="95250" y="51488"/>
              </a:cubicBezTo>
              <a:cubicBezTo>
                <a:pt x="75814" y="64445"/>
                <a:pt x="85927" y="59609"/>
                <a:pt x="65171" y="66527"/>
              </a:cubicBezTo>
              <a:cubicBezTo>
                <a:pt x="56816" y="64856"/>
                <a:pt x="46922" y="56402"/>
                <a:pt x="40106" y="61514"/>
              </a:cubicBezTo>
              <a:cubicBezTo>
                <a:pt x="34594" y="65648"/>
                <a:pt x="45119" y="74677"/>
                <a:pt x="45119" y="81567"/>
              </a:cubicBezTo>
              <a:cubicBezTo>
                <a:pt x="45119" y="95039"/>
                <a:pt x="42516" y="108417"/>
                <a:pt x="40106" y="121672"/>
              </a:cubicBezTo>
              <a:cubicBezTo>
                <a:pt x="39161" y="126871"/>
                <a:pt x="38829" y="132975"/>
                <a:pt x="35092" y="136712"/>
              </a:cubicBezTo>
              <a:cubicBezTo>
                <a:pt x="31356" y="140448"/>
                <a:pt x="25066" y="140054"/>
                <a:pt x="20053" y="141725"/>
              </a:cubicBezTo>
              <a:cubicBezTo>
                <a:pt x="5853" y="184326"/>
                <a:pt x="25658" y="132384"/>
                <a:pt x="5013" y="166791"/>
              </a:cubicBezTo>
              <a:cubicBezTo>
                <a:pt x="2294" y="171322"/>
                <a:pt x="1671" y="176817"/>
                <a:pt x="0" y="181830"/>
              </a:cubicBezTo>
              <a:cubicBezTo>
                <a:pt x="1439" y="196222"/>
                <a:pt x="991" y="228930"/>
                <a:pt x="10027" y="247001"/>
              </a:cubicBezTo>
              <a:cubicBezTo>
                <a:pt x="12722" y="252390"/>
                <a:pt x="14944" y="258848"/>
                <a:pt x="20053" y="262041"/>
              </a:cubicBezTo>
              <a:cubicBezTo>
                <a:pt x="29015" y="267642"/>
                <a:pt x="40106" y="268725"/>
                <a:pt x="50132" y="272067"/>
              </a:cubicBezTo>
              <a:lnTo>
                <a:pt x="65171" y="277080"/>
              </a:lnTo>
              <a:lnTo>
                <a:pt x="80211" y="282093"/>
              </a:lnTo>
              <a:cubicBezTo>
                <a:pt x="83553" y="285435"/>
                <a:pt x="86546" y="289167"/>
                <a:pt x="90237" y="292120"/>
              </a:cubicBezTo>
              <a:cubicBezTo>
                <a:pt x="94942" y="295884"/>
                <a:pt x="102084" y="297037"/>
                <a:pt x="105277" y="302146"/>
              </a:cubicBezTo>
              <a:cubicBezTo>
                <a:pt x="110878" y="311108"/>
                <a:pt x="115303" y="332225"/>
                <a:pt x="115303" y="332225"/>
              </a:cubicBezTo>
              <a:cubicBezTo>
                <a:pt x="110290" y="333896"/>
                <a:pt x="104390" y="333937"/>
                <a:pt x="100263" y="337238"/>
              </a:cubicBezTo>
              <a:cubicBezTo>
                <a:pt x="76786" y="356019"/>
                <a:pt x="101369" y="347136"/>
                <a:pt x="85224" y="367317"/>
              </a:cubicBezTo>
              <a:cubicBezTo>
                <a:pt x="81460" y="372022"/>
                <a:pt x="74889" y="373579"/>
                <a:pt x="70184" y="377343"/>
              </a:cubicBezTo>
              <a:cubicBezTo>
                <a:pt x="66493" y="380296"/>
                <a:pt x="63500" y="384028"/>
                <a:pt x="60158" y="387370"/>
              </a:cubicBezTo>
              <a:cubicBezTo>
                <a:pt x="55341" y="401820"/>
                <a:pt x="43350" y="417743"/>
                <a:pt x="55145" y="432488"/>
              </a:cubicBezTo>
              <a:cubicBezTo>
                <a:pt x="58909" y="437193"/>
                <a:pt x="65171" y="439172"/>
                <a:pt x="70184" y="442514"/>
              </a:cubicBezTo>
              <a:cubicBezTo>
                <a:pt x="75845" y="465154"/>
                <a:pt x="75357" y="472754"/>
                <a:pt x="95250" y="492646"/>
              </a:cubicBezTo>
              <a:cubicBezTo>
                <a:pt x="100263" y="497659"/>
                <a:pt x="104092" y="504242"/>
                <a:pt x="110290" y="507685"/>
              </a:cubicBezTo>
              <a:cubicBezTo>
                <a:pt x="119529" y="512818"/>
                <a:pt x="140369" y="517712"/>
                <a:pt x="140369" y="517712"/>
              </a:cubicBezTo>
              <a:cubicBezTo>
                <a:pt x="153737" y="516041"/>
                <a:pt x="167185" y="514913"/>
                <a:pt x="180474" y="512698"/>
              </a:cubicBezTo>
              <a:cubicBezTo>
                <a:pt x="187270" y="511565"/>
                <a:pt x="195115" y="509836"/>
                <a:pt x="200527" y="507685"/>
              </a:cubicBezTo>
              <a:cubicBezTo>
                <a:pt x="205939" y="505534"/>
                <a:pt x="207970" y="502777"/>
                <a:pt x="212944" y="499790"/>
              </a:cubicBezTo>
              <a:cubicBezTo>
                <a:pt x="217918" y="496803"/>
                <a:pt x="223253" y="494296"/>
                <a:pt x="230374" y="489763"/>
              </a:cubicBezTo>
              <a:cubicBezTo>
                <a:pt x="237495" y="485230"/>
                <a:pt x="249784" y="477126"/>
                <a:pt x="255671" y="472593"/>
              </a:cubicBezTo>
              <a:cubicBezTo>
                <a:pt x="261558" y="468060"/>
                <a:pt x="262745" y="466258"/>
                <a:pt x="265698" y="462567"/>
              </a:cubicBezTo>
              <a:cubicBezTo>
                <a:pt x="269462" y="457862"/>
                <a:pt x="271019" y="451291"/>
                <a:pt x="275724" y="447527"/>
              </a:cubicBezTo>
              <a:cubicBezTo>
                <a:pt x="279850" y="444226"/>
                <a:pt x="285750" y="444185"/>
                <a:pt x="290763" y="442514"/>
              </a:cubicBezTo>
              <a:cubicBezTo>
                <a:pt x="292434" y="437501"/>
                <a:pt x="293058" y="432006"/>
                <a:pt x="295777" y="427475"/>
              </a:cubicBezTo>
              <a:cubicBezTo>
                <a:pt x="299566" y="421160"/>
                <a:pt x="315251" y="409907"/>
                <a:pt x="320842" y="407422"/>
              </a:cubicBezTo>
              <a:cubicBezTo>
                <a:pt x="330500" y="403130"/>
                <a:pt x="340895" y="400738"/>
                <a:pt x="350921" y="397396"/>
              </a:cubicBezTo>
              <a:lnTo>
                <a:pt x="365961" y="392383"/>
              </a:lnTo>
              <a:cubicBezTo>
                <a:pt x="369303" y="389041"/>
                <a:pt x="372296" y="385309"/>
                <a:pt x="375987" y="382356"/>
              </a:cubicBezTo>
              <a:cubicBezTo>
                <a:pt x="380692" y="378592"/>
                <a:pt x="385615" y="376988"/>
                <a:pt x="391027" y="372330"/>
              </a:cubicBezTo>
              <a:cubicBezTo>
                <a:pt x="396439" y="367672"/>
                <a:pt x="390288" y="363493"/>
                <a:pt x="408457" y="354408"/>
              </a:cubicBezTo>
              <a:cubicBezTo>
                <a:pt x="417910" y="349681"/>
                <a:pt x="429859" y="342606"/>
                <a:pt x="436145" y="337238"/>
              </a:cubicBezTo>
              <a:cubicBezTo>
                <a:pt x="442431" y="331870"/>
                <a:pt x="441466" y="325962"/>
                <a:pt x="446171" y="322198"/>
              </a:cubicBezTo>
              <a:cubicBezTo>
                <a:pt x="450297" y="318897"/>
                <a:pt x="456674" y="318146"/>
                <a:pt x="461211" y="317185"/>
              </a:cubicBezTo>
              <a:cubicBezTo>
                <a:pt x="465748" y="316224"/>
                <a:pt x="470094" y="320560"/>
                <a:pt x="473395" y="316434"/>
              </a:cubicBezTo>
              <a:cubicBezTo>
                <a:pt x="480462" y="307600"/>
                <a:pt x="486397" y="290409"/>
                <a:pt x="496303" y="287106"/>
              </a:cubicBezTo>
              <a:cubicBezTo>
                <a:pt x="497974" y="282093"/>
                <a:pt x="498953" y="276793"/>
                <a:pt x="501316" y="272067"/>
              </a:cubicBezTo>
              <a:cubicBezTo>
                <a:pt x="504010" y="266678"/>
                <a:pt x="509710" y="269225"/>
                <a:pt x="511342" y="257027"/>
              </a:cubicBezTo>
              <a:cubicBezTo>
                <a:pt x="512974" y="244829"/>
                <a:pt x="512781" y="205559"/>
                <a:pt x="511110" y="198875"/>
              </a:cubicBezTo>
              <a:cubicBezTo>
                <a:pt x="510562" y="193942"/>
                <a:pt x="500442" y="164618"/>
                <a:pt x="496303" y="151751"/>
              </a:cubicBezTo>
              <a:cubicBezTo>
                <a:pt x="492164" y="138884"/>
                <a:pt x="486277" y="121672"/>
                <a:pt x="486277" y="121672"/>
              </a:cubicBezTo>
              <a:cubicBezTo>
                <a:pt x="486903" y="112278"/>
                <a:pt x="484343" y="55356"/>
                <a:pt x="496303" y="31435"/>
              </a:cubicBezTo>
              <a:cubicBezTo>
                <a:pt x="497360" y="29321"/>
                <a:pt x="513013" y="5533"/>
                <a:pt x="501316" y="1356"/>
              </a:cubicBezTo>
              <a:close/>
            </a:path>
          </a:pathLst>
        </a:custGeom>
        <a:solidFill>
          <a:srgbClr val="5BEB47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32</xdr:col>
      <xdr:colOff>446171</xdr:colOff>
      <xdr:row>23</xdr:row>
      <xdr:rowOff>110791</xdr:rowOff>
    </xdr:from>
    <xdr:to>
      <xdr:col>35</xdr:col>
      <xdr:colOff>2005</xdr:colOff>
      <xdr:row>29</xdr:row>
      <xdr:rowOff>40660</xdr:rowOff>
    </xdr:to>
    <xdr:sp macro="" textlink="">
      <xdr:nvSpPr>
        <xdr:cNvPr id="21" name="Freeform 20"/>
        <xdr:cNvSpPr/>
      </xdr:nvSpPr>
      <xdr:spPr>
        <a:xfrm>
          <a:off x="19496171" y="4492291"/>
          <a:ext cx="1384634" cy="1072869"/>
        </a:xfrm>
        <a:custGeom>
          <a:avLst/>
          <a:gdLst>
            <a:gd name="connsiteX0" fmla="*/ 190500 w 1388644"/>
            <a:gd name="connsiteY0" fmla="*/ 1032710 h 1072869"/>
            <a:gd name="connsiteX1" fmla="*/ 290763 w 1388644"/>
            <a:gd name="connsiteY1" fmla="*/ 1027697 h 1072869"/>
            <a:gd name="connsiteX2" fmla="*/ 315829 w 1388644"/>
            <a:gd name="connsiteY2" fmla="*/ 1022684 h 1072869"/>
            <a:gd name="connsiteX3" fmla="*/ 350921 w 1388644"/>
            <a:gd name="connsiteY3" fmla="*/ 1017671 h 1072869"/>
            <a:gd name="connsiteX4" fmla="*/ 601579 w 1388644"/>
            <a:gd name="connsiteY4" fmla="*/ 1027697 h 1072869"/>
            <a:gd name="connsiteX5" fmla="*/ 691816 w 1388644"/>
            <a:gd name="connsiteY5" fmla="*/ 1032710 h 1072869"/>
            <a:gd name="connsiteX6" fmla="*/ 992605 w 1388644"/>
            <a:gd name="connsiteY6" fmla="*/ 1027697 h 1072869"/>
            <a:gd name="connsiteX7" fmla="*/ 1007644 w 1388644"/>
            <a:gd name="connsiteY7" fmla="*/ 1022684 h 1072869"/>
            <a:gd name="connsiteX8" fmla="*/ 1072816 w 1388644"/>
            <a:gd name="connsiteY8" fmla="*/ 1027697 h 1072869"/>
            <a:gd name="connsiteX9" fmla="*/ 1353552 w 1388644"/>
            <a:gd name="connsiteY9" fmla="*/ 1017671 h 1072869"/>
            <a:gd name="connsiteX10" fmla="*/ 1368592 w 1388644"/>
            <a:gd name="connsiteY10" fmla="*/ 1012658 h 1072869"/>
            <a:gd name="connsiteX11" fmla="*/ 1388644 w 1388644"/>
            <a:gd name="connsiteY11" fmla="*/ 1007645 h 1072869"/>
            <a:gd name="connsiteX12" fmla="*/ 1368592 w 1388644"/>
            <a:gd name="connsiteY12" fmla="*/ 977566 h 1072869"/>
            <a:gd name="connsiteX13" fmla="*/ 1343526 w 1388644"/>
            <a:gd name="connsiteY13" fmla="*/ 972552 h 1072869"/>
            <a:gd name="connsiteX14" fmla="*/ 1318460 w 1388644"/>
            <a:gd name="connsiteY14" fmla="*/ 952500 h 1072869"/>
            <a:gd name="connsiteX15" fmla="*/ 1308434 w 1388644"/>
            <a:gd name="connsiteY15" fmla="*/ 937460 h 1072869"/>
            <a:gd name="connsiteX16" fmla="*/ 1293394 w 1388644"/>
            <a:gd name="connsiteY16" fmla="*/ 927434 h 1072869"/>
            <a:gd name="connsiteX17" fmla="*/ 1278355 w 1388644"/>
            <a:gd name="connsiteY17" fmla="*/ 912395 h 1072869"/>
            <a:gd name="connsiteX18" fmla="*/ 1248276 w 1388644"/>
            <a:gd name="connsiteY18" fmla="*/ 902368 h 1072869"/>
            <a:gd name="connsiteX19" fmla="*/ 1233237 w 1388644"/>
            <a:gd name="connsiteY19" fmla="*/ 897355 h 1072869"/>
            <a:gd name="connsiteX20" fmla="*/ 1228223 w 1388644"/>
            <a:gd name="connsiteY20" fmla="*/ 882316 h 1072869"/>
            <a:gd name="connsiteX21" fmla="*/ 1218197 w 1388644"/>
            <a:gd name="connsiteY21" fmla="*/ 832184 h 1072869"/>
            <a:gd name="connsiteX22" fmla="*/ 1203158 w 1388644"/>
            <a:gd name="connsiteY22" fmla="*/ 782052 h 1072869"/>
            <a:gd name="connsiteX23" fmla="*/ 1188118 w 1388644"/>
            <a:gd name="connsiteY23" fmla="*/ 777039 h 1072869"/>
            <a:gd name="connsiteX24" fmla="*/ 1168066 w 1388644"/>
            <a:gd name="connsiteY24" fmla="*/ 756987 h 1072869"/>
            <a:gd name="connsiteX25" fmla="*/ 1163052 w 1388644"/>
            <a:gd name="connsiteY25" fmla="*/ 741947 h 1072869"/>
            <a:gd name="connsiteX26" fmla="*/ 1137987 w 1388644"/>
            <a:gd name="connsiteY26" fmla="*/ 716881 h 1072869"/>
            <a:gd name="connsiteX27" fmla="*/ 1132973 w 1388644"/>
            <a:gd name="connsiteY27" fmla="*/ 701842 h 1072869"/>
            <a:gd name="connsiteX28" fmla="*/ 1102894 w 1388644"/>
            <a:gd name="connsiteY28" fmla="*/ 661737 h 1072869"/>
            <a:gd name="connsiteX29" fmla="*/ 1082842 w 1388644"/>
            <a:gd name="connsiteY29" fmla="*/ 636671 h 1072869"/>
            <a:gd name="connsiteX30" fmla="*/ 1077829 w 1388644"/>
            <a:gd name="connsiteY30" fmla="*/ 621631 h 1072869"/>
            <a:gd name="connsiteX31" fmla="*/ 1067802 w 1388644"/>
            <a:gd name="connsiteY31" fmla="*/ 611605 h 1072869"/>
            <a:gd name="connsiteX32" fmla="*/ 1052763 w 1388644"/>
            <a:gd name="connsiteY32" fmla="*/ 586539 h 1072869"/>
            <a:gd name="connsiteX33" fmla="*/ 1042737 w 1388644"/>
            <a:gd name="connsiteY33" fmla="*/ 571500 h 1072869"/>
            <a:gd name="connsiteX34" fmla="*/ 1027697 w 1388644"/>
            <a:gd name="connsiteY34" fmla="*/ 561473 h 1072869"/>
            <a:gd name="connsiteX35" fmla="*/ 1002631 w 1388644"/>
            <a:gd name="connsiteY35" fmla="*/ 536408 h 1072869"/>
            <a:gd name="connsiteX36" fmla="*/ 992605 w 1388644"/>
            <a:gd name="connsiteY36" fmla="*/ 526381 h 1072869"/>
            <a:gd name="connsiteX37" fmla="*/ 977566 w 1388644"/>
            <a:gd name="connsiteY37" fmla="*/ 516355 h 1072869"/>
            <a:gd name="connsiteX38" fmla="*/ 972552 w 1388644"/>
            <a:gd name="connsiteY38" fmla="*/ 501316 h 1072869"/>
            <a:gd name="connsiteX39" fmla="*/ 947487 w 1388644"/>
            <a:gd name="connsiteY39" fmla="*/ 481263 h 1072869"/>
            <a:gd name="connsiteX40" fmla="*/ 927434 w 1388644"/>
            <a:gd name="connsiteY40" fmla="*/ 446171 h 1072869"/>
            <a:gd name="connsiteX41" fmla="*/ 912394 w 1388644"/>
            <a:gd name="connsiteY41" fmla="*/ 436145 h 1072869"/>
            <a:gd name="connsiteX42" fmla="*/ 892342 w 1388644"/>
            <a:gd name="connsiteY42" fmla="*/ 396039 h 1072869"/>
            <a:gd name="connsiteX43" fmla="*/ 887329 w 1388644"/>
            <a:gd name="connsiteY43" fmla="*/ 381000 h 1072869"/>
            <a:gd name="connsiteX44" fmla="*/ 857250 w 1388644"/>
            <a:gd name="connsiteY44" fmla="*/ 360947 h 1072869"/>
            <a:gd name="connsiteX45" fmla="*/ 832184 w 1388644"/>
            <a:gd name="connsiteY45" fmla="*/ 335881 h 1072869"/>
            <a:gd name="connsiteX46" fmla="*/ 822158 w 1388644"/>
            <a:gd name="connsiteY46" fmla="*/ 320842 h 1072869"/>
            <a:gd name="connsiteX47" fmla="*/ 812131 w 1388644"/>
            <a:gd name="connsiteY47" fmla="*/ 310816 h 1072869"/>
            <a:gd name="connsiteX48" fmla="*/ 802105 w 1388644"/>
            <a:gd name="connsiteY48" fmla="*/ 260684 h 1072869"/>
            <a:gd name="connsiteX49" fmla="*/ 782052 w 1388644"/>
            <a:gd name="connsiteY49" fmla="*/ 230605 h 1072869"/>
            <a:gd name="connsiteX50" fmla="*/ 767013 w 1388644"/>
            <a:gd name="connsiteY50" fmla="*/ 220579 h 1072869"/>
            <a:gd name="connsiteX51" fmla="*/ 762000 w 1388644"/>
            <a:gd name="connsiteY51" fmla="*/ 205539 h 1072869"/>
            <a:gd name="connsiteX52" fmla="*/ 787066 w 1388644"/>
            <a:gd name="connsiteY52" fmla="*/ 225592 h 1072869"/>
            <a:gd name="connsiteX53" fmla="*/ 792079 w 1388644"/>
            <a:gd name="connsiteY53" fmla="*/ 240631 h 1072869"/>
            <a:gd name="connsiteX54" fmla="*/ 817144 w 1388644"/>
            <a:gd name="connsiteY54" fmla="*/ 260684 h 1072869"/>
            <a:gd name="connsiteX55" fmla="*/ 842210 w 1388644"/>
            <a:gd name="connsiteY55" fmla="*/ 275723 h 1072869"/>
            <a:gd name="connsiteX56" fmla="*/ 847223 w 1388644"/>
            <a:gd name="connsiteY56" fmla="*/ 290763 h 1072869"/>
            <a:gd name="connsiteX57" fmla="*/ 882316 w 1388644"/>
            <a:gd name="connsiteY57" fmla="*/ 315829 h 1072869"/>
            <a:gd name="connsiteX58" fmla="*/ 892342 w 1388644"/>
            <a:gd name="connsiteY58" fmla="*/ 330868 h 1072869"/>
            <a:gd name="connsiteX59" fmla="*/ 917408 w 1388644"/>
            <a:gd name="connsiteY59" fmla="*/ 350921 h 1072869"/>
            <a:gd name="connsiteX60" fmla="*/ 932447 w 1388644"/>
            <a:gd name="connsiteY60" fmla="*/ 355934 h 1072869"/>
            <a:gd name="connsiteX61" fmla="*/ 962526 w 1388644"/>
            <a:gd name="connsiteY61" fmla="*/ 370973 h 1072869"/>
            <a:gd name="connsiteX62" fmla="*/ 992605 w 1388644"/>
            <a:gd name="connsiteY62" fmla="*/ 375987 h 1072869"/>
            <a:gd name="connsiteX63" fmla="*/ 997618 w 1388644"/>
            <a:gd name="connsiteY63" fmla="*/ 360947 h 1072869"/>
            <a:gd name="connsiteX64" fmla="*/ 1007644 w 1388644"/>
            <a:gd name="connsiteY64" fmla="*/ 305802 h 1072869"/>
            <a:gd name="connsiteX65" fmla="*/ 1017671 w 1388644"/>
            <a:gd name="connsiteY65" fmla="*/ 225592 h 1072869"/>
            <a:gd name="connsiteX66" fmla="*/ 1012658 w 1388644"/>
            <a:gd name="connsiteY66" fmla="*/ 185487 h 1072869"/>
            <a:gd name="connsiteX67" fmla="*/ 1002631 w 1388644"/>
            <a:gd name="connsiteY67" fmla="*/ 175460 h 1072869"/>
            <a:gd name="connsiteX68" fmla="*/ 977566 w 1388644"/>
            <a:gd name="connsiteY68" fmla="*/ 155408 h 1072869"/>
            <a:gd name="connsiteX69" fmla="*/ 947487 w 1388644"/>
            <a:gd name="connsiteY69" fmla="*/ 115302 h 1072869"/>
            <a:gd name="connsiteX70" fmla="*/ 937460 w 1388644"/>
            <a:gd name="connsiteY70" fmla="*/ 85223 h 1072869"/>
            <a:gd name="connsiteX71" fmla="*/ 927434 w 1388644"/>
            <a:gd name="connsiteY71" fmla="*/ 70184 h 1072869"/>
            <a:gd name="connsiteX72" fmla="*/ 907381 w 1388644"/>
            <a:gd name="connsiteY72" fmla="*/ 50131 h 1072869"/>
            <a:gd name="connsiteX73" fmla="*/ 792079 w 1388644"/>
            <a:gd name="connsiteY73" fmla="*/ 45118 h 1072869"/>
            <a:gd name="connsiteX74" fmla="*/ 716881 w 1388644"/>
            <a:gd name="connsiteY74" fmla="*/ 50131 h 1072869"/>
            <a:gd name="connsiteX75" fmla="*/ 686802 w 1388644"/>
            <a:gd name="connsiteY75" fmla="*/ 40105 h 1072869"/>
            <a:gd name="connsiteX76" fmla="*/ 681789 w 1388644"/>
            <a:gd name="connsiteY76" fmla="*/ 25066 h 1072869"/>
            <a:gd name="connsiteX77" fmla="*/ 671763 w 1388644"/>
            <a:gd name="connsiteY77" fmla="*/ 15039 h 1072869"/>
            <a:gd name="connsiteX78" fmla="*/ 641684 w 1388644"/>
            <a:gd name="connsiteY78" fmla="*/ 0 h 1072869"/>
            <a:gd name="connsiteX79" fmla="*/ 501316 w 1388644"/>
            <a:gd name="connsiteY79" fmla="*/ 5013 h 1072869"/>
            <a:gd name="connsiteX80" fmla="*/ 471237 w 1388644"/>
            <a:gd name="connsiteY80" fmla="*/ 20052 h 1072869"/>
            <a:gd name="connsiteX81" fmla="*/ 461210 w 1388644"/>
            <a:gd name="connsiteY81" fmla="*/ 30079 h 1072869"/>
            <a:gd name="connsiteX82" fmla="*/ 446171 w 1388644"/>
            <a:gd name="connsiteY82" fmla="*/ 40105 h 1072869"/>
            <a:gd name="connsiteX83" fmla="*/ 436144 w 1388644"/>
            <a:gd name="connsiteY83" fmla="*/ 50131 h 1072869"/>
            <a:gd name="connsiteX84" fmla="*/ 421105 w 1388644"/>
            <a:gd name="connsiteY84" fmla="*/ 55145 h 1072869"/>
            <a:gd name="connsiteX85" fmla="*/ 381000 w 1388644"/>
            <a:gd name="connsiteY85" fmla="*/ 50131 h 1072869"/>
            <a:gd name="connsiteX86" fmla="*/ 340894 w 1388644"/>
            <a:gd name="connsiteY86" fmla="*/ 40105 h 1072869"/>
            <a:gd name="connsiteX87" fmla="*/ 250658 w 1388644"/>
            <a:gd name="connsiteY87" fmla="*/ 35092 h 1072869"/>
            <a:gd name="connsiteX88" fmla="*/ 235618 w 1388644"/>
            <a:gd name="connsiteY88" fmla="*/ 30079 h 1072869"/>
            <a:gd name="connsiteX89" fmla="*/ 215566 w 1388644"/>
            <a:gd name="connsiteY89" fmla="*/ 25066 h 1072869"/>
            <a:gd name="connsiteX90" fmla="*/ 185487 w 1388644"/>
            <a:gd name="connsiteY90" fmla="*/ 15039 h 1072869"/>
            <a:gd name="connsiteX91" fmla="*/ 25066 w 1388644"/>
            <a:gd name="connsiteY91" fmla="*/ 20052 h 1072869"/>
            <a:gd name="connsiteX92" fmla="*/ 20052 w 1388644"/>
            <a:gd name="connsiteY92" fmla="*/ 35092 h 1072869"/>
            <a:gd name="connsiteX93" fmla="*/ 5013 w 1388644"/>
            <a:gd name="connsiteY93" fmla="*/ 40105 h 1072869"/>
            <a:gd name="connsiteX94" fmla="*/ 0 w 1388644"/>
            <a:gd name="connsiteY94" fmla="*/ 55145 h 1072869"/>
            <a:gd name="connsiteX95" fmla="*/ 20052 w 1388644"/>
            <a:gd name="connsiteY95" fmla="*/ 85223 h 1072869"/>
            <a:gd name="connsiteX96" fmla="*/ 20052 w 1388644"/>
            <a:gd name="connsiteY96" fmla="*/ 140368 h 1072869"/>
            <a:gd name="connsiteX97" fmla="*/ 35092 w 1388644"/>
            <a:gd name="connsiteY97" fmla="*/ 210552 h 1072869"/>
            <a:gd name="connsiteX98" fmla="*/ 45118 w 1388644"/>
            <a:gd name="connsiteY98" fmla="*/ 220579 h 1072869"/>
            <a:gd name="connsiteX99" fmla="*/ 60158 w 1388644"/>
            <a:gd name="connsiteY99" fmla="*/ 295776 h 1072869"/>
            <a:gd name="connsiteX100" fmla="*/ 70184 w 1388644"/>
            <a:gd name="connsiteY100" fmla="*/ 325855 h 1072869"/>
            <a:gd name="connsiteX101" fmla="*/ 75197 w 1388644"/>
            <a:gd name="connsiteY101" fmla="*/ 340895 h 1072869"/>
            <a:gd name="connsiteX102" fmla="*/ 85223 w 1388644"/>
            <a:gd name="connsiteY102" fmla="*/ 406066 h 1072869"/>
            <a:gd name="connsiteX103" fmla="*/ 95250 w 1388644"/>
            <a:gd name="connsiteY103" fmla="*/ 421105 h 1072869"/>
            <a:gd name="connsiteX104" fmla="*/ 105276 w 1388644"/>
            <a:gd name="connsiteY104" fmla="*/ 471237 h 1072869"/>
            <a:gd name="connsiteX105" fmla="*/ 115302 w 1388644"/>
            <a:gd name="connsiteY105" fmla="*/ 536408 h 1072869"/>
            <a:gd name="connsiteX106" fmla="*/ 120316 w 1388644"/>
            <a:gd name="connsiteY106" fmla="*/ 661737 h 1072869"/>
            <a:gd name="connsiteX107" fmla="*/ 125329 w 1388644"/>
            <a:gd name="connsiteY107" fmla="*/ 691816 h 1072869"/>
            <a:gd name="connsiteX108" fmla="*/ 130342 w 1388644"/>
            <a:gd name="connsiteY108" fmla="*/ 802105 h 1072869"/>
            <a:gd name="connsiteX109" fmla="*/ 135355 w 1388644"/>
            <a:gd name="connsiteY109" fmla="*/ 842210 h 1072869"/>
            <a:gd name="connsiteX110" fmla="*/ 140368 w 1388644"/>
            <a:gd name="connsiteY110" fmla="*/ 887329 h 1072869"/>
            <a:gd name="connsiteX111" fmla="*/ 160421 w 1388644"/>
            <a:gd name="connsiteY111" fmla="*/ 932447 h 1072869"/>
            <a:gd name="connsiteX112" fmla="*/ 170447 w 1388644"/>
            <a:gd name="connsiteY112" fmla="*/ 1012658 h 1072869"/>
            <a:gd name="connsiteX113" fmla="*/ 180473 w 1388644"/>
            <a:gd name="connsiteY113" fmla="*/ 1042737 h 1072869"/>
            <a:gd name="connsiteX114" fmla="*/ 185487 w 1388644"/>
            <a:gd name="connsiteY114" fmla="*/ 1057776 h 1072869"/>
            <a:gd name="connsiteX115" fmla="*/ 195513 w 1388644"/>
            <a:gd name="connsiteY115" fmla="*/ 1072816 h 1072869"/>
            <a:gd name="connsiteX116" fmla="*/ 190500 w 1388644"/>
            <a:gd name="connsiteY116" fmla="*/ 1032710 h 107286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</a:cxnLst>
          <a:rect l="l" t="t" r="r" b="b"/>
          <a:pathLst>
            <a:path w="1388644" h="1072869">
              <a:moveTo>
                <a:pt x="190500" y="1032710"/>
              </a:moveTo>
              <a:cubicBezTo>
                <a:pt x="206375" y="1025190"/>
                <a:pt x="257407" y="1030365"/>
                <a:pt x="290763" y="1027697"/>
              </a:cubicBezTo>
              <a:cubicBezTo>
                <a:pt x="299257" y="1027018"/>
                <a:pt x="307424" y="1024085"/>
                <a:pt x="315829" y="1022684"/>
              </a:cubicBezTo>
              <a:cubicBezTo>
                <a:pt x="327484" y="1020742"/>
                <a:pt x="339224" y="1019342"/>
                <a:pt x="350921" y="1017671"/>
              </a:cubicBezTo>
              <a:lnTo>
                <a:pt x="601579" y="1027697"/>
              </a:lnTo>
              <a:lnTo>
                <a:pt x="691816" y="1032710"/>
              </a:lnTo>
              <a:lnTo>
                <a:pt x="992605" y="1027697"/>
              </a:lnTo>
              <a:cubicBezTo>
                <a:pt x="997887" y="1027529"/>
                <a:pt x="1002360" y="1022684"/>
                <a:pt x="1007644" y="1022684"/>
              </a:cubicBezTo>
              <a:cubicBezTo>
                <a:pt x="1029432" y="1022684"/>
                <a:pt x="1051092" y="1026026"/>
                <a:pt x="1072816" y="1027697"/>
              </a:cubicBezTo>
              <a:cubicBezTo>
                <a:pt x="1079181" y="1027562"/>
                <a:pt x="1277431" y="1030357"/>
                <a:pt x="1353552" y="1017671"/>
              </a:cubicBezTo>
              <a:cubicBezTo>
                <a:pt x="1358765" y="1016802"/>
                <a:pt x="1363511" y="1014110"/>
                <a:pt x="1368592" y="1012658"/>
              </a:cubicBezTo>
              <a:cubicBezTo>
                <a:pt x="1375217" y="1010765"/>
                <a:pt x="1381960" y="1009316"/>
                <a:pt x="1388644" y="1007645"/>
              </a:cubicBezTo>
              <a:cubicBezTo>
                <a:pt x="1384188" y="994276"/>
                <a:pt x="1383613" y="985077"/>
                <a:pt x="1368592" y="977566"/>
              </a:cubicBezTo>
              <a:cubicBezTo>
                <a:pt x="1360971" y="973755"/>
                <a:pt x="1351881" y="974223"/>
                <a:pt x="1343526" y="972552"/>
              </a:cubicBezTo>
              <a:cubicBezTo>
                <a:pt x="1332362" y="965110"/>
                <a:pt x="1326622" y="962702"/>
                <a:pt x="1318460" y="952500"/>
              </a:cubicBezTo>
              <a:cubicBezTo>
                <a:pt x="1314696" y="947795"/>
                <a:pt x="1312694" y="941720"/>
                <a:pt x="1308434" y="937460"/>
              </a:cubicBezTo>
              <a:cubicBezTo>
                <a:pt x="1304174" y="933200"/>
                <a:pt x="1298023" y="931291"/>
                <a:pt x="1293394" y="927434"/>
              </a:cubicBezTo>
              <a:cubicBezTo>
                <a:pt x="1287948" y="922896"/>
                <a:pt x="1284552" y="915838"/>
                <a:pt x="1278355" y="912395"/>
              </a:cubicBezTo>
              <a:cubicBezTo>
                <a:pt x="1269116" y="907262"/>
                <a:pt x="1258302" y="905710"/>
                <a:pt x="1248276" y="902368"/>
              </a:cubicBezTo>
              <a:lnTo>
                <a:pt x="1233237" y="897355"/>
              </a:lnTo>
              <a:cubicBezTo>
                <a:pt x="1231566" y="892342"/>
                <a:pt x="1229259" y="887498"/>
                <a:pt x="1228223" y="882316"/>
              </a:cubicBezTo>
              <a:cubicBezTo>
                <a:pt x="1216700" y="824703"/>
                <a:pt x="1229524" y="866165"/>
                <a:pt x="1218197" y="832184"/>
              </a:cubicBezTo>
              <a:cubicBezTo>
                <a:pt x="1215611" y="811494"/>
                <a:pt x="1221653" y="793149"/>
                <a:pt x="1203158" y="782052"/>
              </a:cubicBezTo>
              <a:cubicBezTo>
                <a:pt x="1198627" y="779333"/>
                <a:pt x="1193131" y="778710"/>
                <a:pt x="1188118" y="777039"/>
              </a:cubicBezTo>
              <a:cubicBezTo>
                <a:pt x="1174750" y="736935"/>
                <a:pt x="1194802" y="783723"/>
                <a:pt x="1168066" y="756987"/>
              </a:cubicBezTo>
              <a:cubicBezTo>
                <a:pt x="1164329" y="753250"/>
                <a:pt x="1165415" y="746674"/>
                <a:pt x="1163052" y="741947"/>
              </a:cubicBezTo>
              <a:cubicBezTo>
                <a:pt x="1154697" y="725237"/>
                <a:pt x="1153026" y="726908"/>
                <a:pt x="1137987" y="716881"/>
              </a:cubicBezTo>
              <a:cubicBezTo>
                <a:pt x="1136316" y="711868"/>
                <a:pt x="1135539" y="706461"/>
                <a:pt x="1132973" y="701842"/>
              </a:cubicBezTo>
              <a:cubicBezTo>
                <a:pt x="1118799" y="676329"/>
                <a:pt x="1118108" y="676950"/>
                <a:pt x="1102894" y="661737"/>
              </a:cubicBezTo>
              <a:cubicBezTo>
                <a:pt x="1090293" y="623933"/>
                <a:pt x="1108757" y="669066"/>
                <a:pt x="1082842" y="636671"/>
              </a:cubicBezTo>
              <a:cubicBezTo>
                <a:pt x="1079541" y="632544"/>
                <a:pt x="1080548" y="626162"/>
                <a:pt x="1077829" y="621631"/>
              </a:cubicBezTo>
              <a:cubicBezTo>
                <a:pt x="1075397" y="617578"/>
                <a:pt x="1071144" y="614947"/>
                <a:pt x="1067802" y="611605"/>
              </a:cubicBezTo>
              <a:cubicBezTo>
                <a:pt x="1059097" y="585489"/>
                <a:pt x="1068491" y="606200"/>
                <a:pt x="1052763" y="586539"/>
              </a:cubicBezTo>
              <a:cubicBezTo>
                <a:pt x="1048999" y="581834"/>
                <a:pt x="1046997" y="575760"/>
                <a:pt x="1042737" y="571500"/>
              </a:cubicBezTo>
              <a:cubicBezTo>
                <a:pt x="1038476" y="567239"/>
                <a:pt x="1032232" y="565441"/>
                <a:pt x="1027697" y="561473"/>
              </a:cubicBezTo>
              <a:cubicBezTo>
                <a:pt x="1018804" y="553692"/>
                <a:pt x="1010986" y="544763"/>
                <a:pt x="1002631" y="536408"/>
              </a:cubicBezTo>
              <a:cubicBezTo>
                <a:pt x="999289" y="533066"/>
                <a:pt x="996538" y="529003"/>
                <a:pt x="992605" y="526381"/>
              </a:cubicBezTo>
              <a:lnTo>
                <a:pt x="977566" y="516355"/>
              </a:lnTo>
              <a:cubicBezTo>
                <a:pt x="975895" y="511342"/>
                <a:pt x="975271" y="505847"/>
                <a:pt x="972552" y="501316"/>
              </a:cubicBezTo>
              <a:cubicBezTo>
                <a:pt x="967788" y="493377"/>
                <a:pt x="954321" y="485819"/>
                <a:pt x="947487" y="481263"/>
              </a:cubicBezTo>
              <a:cubicBezTo>
                <a:pt x="943556" y="473401"/>
                <a:pt x="934519" y="453255"/>
                <a:pt x="927434" y="446171"/>
              </a:cubicBezTo>
              <a:cubicBezTo>
                <a:pt x="923173" y="441911"/>
                <a:pt x="917407" y="439487"/>
                <a:pt x="912394" y="436145"/>
              </a:cubicBezTo>
              <a:cubicBezTo>
                <a:pt x="900873" y="401582"/>
                <a:pt x="909841" y="413540"/>
                <a:pt x="892342" y="396039"/>
              </a:cubicBezTo>
              <a:cubicBezTo>
                <a:pt x="890671" y="391026"/>
                <a:pt x="891065" y="384736"/>
                <a:pt x="887329" y="381000"/>
              </a:cubicBezTo>
              <a:cubicBezTo>
                <a:pt x="878808" y="372479"/>
                <a:pt x="857250" y="360947"/>
                <a:pt x="857250" y="360947"/>
              </a:cubicBezTo>
              <a:cubicBezTo>
                <a:pt x="830509" y="320839"/>
                <a:pt x="865608" y="369306"/>
                <a:pt x="832184" y="335881"/>
              </a:cubicBezTo>
              <a:cubicBezTo>
                <a:pt x="827924" y="331621"/>
                <a:pt x="825922" y="325547"/>
                <a:pt x="822158" y="320842"/>
              </a:cubicBezTo>
              <a:cubicBezTo>
                <a:pt x="819205" y="317151"/>
                <a:pt x="815473" y="314158"/>
                <a:pt x="812131" y="310816"/>
              </a:cubicBezTo>
              <a:cubicBezTo>
                <a:pt x="810886" y="302099"/>
                <a:pt x="808836" y="272799"/>
                <a:pt x="802105" y="260684"/>
              </a:cubicBezTo>
              <a:cubicBezTo>
                <a:pt x="796253" y="250150"/>
                <a:pt x="792078" y="237289"/>
                <a:pt x="782052" y="230605"/>
              </a:cubicBezTo>
              <a:lnTo>
                <a:pt x="767013" y="220579"/>
              </a:lnTo>
              <a:cubicBezTo>
                <a:pt x="765342" y="215566"/>
                <a:pt x="758263" y="209276"/>
                <a:pt x="762000" y="205539"/>
              </a:cubicBezTo>
              <a:cubicBezTo>
                <a:pt x="771685" y="195853"/>
                <a:pt x="786731" y="225089"/>
                <a:pt x="787066" y="225592"/>
              </a:cubicBezTo>
              <a:cubicBezTo>
                <a:pt x="788737" y="230605"/>
                <a:pt x="789360" y="236100"/>
                <a:pt x="792079" y="240631"/>
              </a:cubicBezTo>
              <a:cubicBezTo>
                <a:pt x="797667" y="249944"/>
                <a:pt x="809260" y="254377"/>
                <a:pt x="817144" y="260684"/>
              </a:cubicBezTo>
              <a:cubicBezTo>
                <a:pt x="836805" y="276412"/>
                <a:pt x="816094" y="267018"/>
                <a:pt x="842210" y="275723"/>
              </a:cubicBezTo>
              <a:cubicBezTo>
                <a:pt x="843881" y="280736"/>
                <a:pt x="844151" y="286463"/>
                <a:pt x="847223" y="290763"/>
              </a:cubicBezTo>
              <a:cubicBezTo>
                <a:pt x="862091" y="311579"/>
                <a:pt x="863295" y="309489"/>
                <a:pt x="882316" y="315829"/>
              </a:cubicBezTo>
              <a:cubicBezTo>
                <a:pt x="885658" y="320842"/>
                <a:pt x="888578" y="326163"/>
                <a:pt x="892342" y="330868"/>
              </a:cubicBezTo>
              <a:cubicBezTo>
                <a:pt x="898561" y="338642"/>
                <a:pt x="908719" y="346577"/>
                <a:pt x="917408" y="350921"/>
              </a:cubicBezTo>
              <a:cubicBezTo>
                <a:pt x="922134" y="353284"/>
                <a:pt x="927721" y="353571"/>
                <a:pt x="932447" y="355934"/>
              </a:cubicBezTo>
              <a:cubicBezTo>
                <a:pt x="971319" y="375369"/>
                <a:pt x="924726" y="358373"/>
                <a:pt x="962526" y="370973"/>
              </a:cubicBezTo>
              <a:cubicBezTo>
                <a:pt x="972259" y="380707"/>
                <a:pt x="975495" y="389675"/>
                <a:pt x="992605" y="375987"/>
              </a:cubicBezTo>
              <a:cubicBezTo>
                <a:pt x="996731" y="372686"/>
                <a:pt x="996166" y="366028"/>
                <a:pt x="997618" y="360947"/>
              </a:cubicBezTo>
              <a:cubicBezTo>
                <a:pt x="1003993" y="338632"/>
                <a:pt x="1004235" y="331935"/>
                <a:pt x="1007644" y="305802"/>
              </a:cubicBezTo>
              <a:cubicBezTo>
                <a:pt x="1011129" y="279084"/>
                <a:pt x="1017671" y="225592"/>
                <a:pt x="1017671" y="225592"/>
              </a:cubicBezTo>
              <a:cubicBezTo>
                <a:pt x="1016000" y="212224"/>
                <a:pt x="1016529" y="198391"/>
                <a:pt x="1012658" y="185487"/>
              </a:cubicBezTo>
              <a:cubicBezTo>
                <a:pt x="1011300" y="180960"/>
                <a:pt x="1005584" y="179151"/>
                <a:pt x="1002631" y="175460"/>
              </a:cubicBezTo>
              <a:cubicBezTo>
                <a:pt x="986140" y="154846"/>
                <a:pt x="1001420" y="163359"/>
                <a:pt x="977566" y="155408"/>
              </a:cubicBezTo>
              <a:cubicBezTo>
                <a:pt x="965688" y="143530"/>
                <a:pt x="953157" y="132310"/>
                <a:pt x="947487" y="115302"/>
              </a:cubicBezTo>
              <a:cubicBezTo>
                <a:pt x="944145" y="105276"/>
                <a:pt x="943322" y="94017"/>
                <a:pt x="937460" y="85223"/>
              </a:cubicBezTo>
              <a:cubicBezTo>
                <a:pt x="934118" y="80210"/>
                <a:pt x="930128" y="75573"/>
                <a:pt x="927434" y="70184"/>
              </a:cubicBezTo>
              <a:cubicBezTo>
                <a:pt x="919948" y="55212"/>
                <a:pt x="928236" y="51735"/>
                <a:pt x="907381" y="50131"/>
              </a:cubicBezTo>
              <a:cubicBezTo>
                <a:pt x="869024" y="47180"/>
                <a:pt x="830513" y="46789"/>
                <a:pt x="792079" y="45118"/>
              </a:cubicBezTo>
              <a:cubicBezTo>
                <a:pt x="767013" y="46789"/>
                <a:pt x="741974" y="51326"/>
                <a:pt x="716881" y="50131"/>
              </a:cubicBezTo>
              <a:cubicBezTo>
                <a:pt x="706324" y="49628"/>
                <a:pt x="686802" y="40105"/>
                <a:pt x="686802" y="40105"/>
              </a:cubicBezTo>
              <a:cubicBezTo>
                <a:pt x="685131" y="35092"/>
                <a:pt x="684508" y="29597"/>
                <a:pt x="681789" y="25066"/>
              </a:cubicBezTo>
              <a:cubicBezTo>
                <a:pt x="679357" y="21013"/>
                <a:pt x="675454" y="17992"/>
                <a:pt x="671763" y="15039"/>
              </a:cubicBezTo>
              <a:cubicBezTo>
                <a:pt x="657882" y="3934"/>
                <a:pt x="657567" y="5294"/>
                <a:pt x="641684" y="0"/>
              </a:cubicBezTo>
              <a:cubicBezTo>
                <a:pt x="594895" y="1671"/>
                <a:pt x="548038" y="1999"/>
                <a:pt x="501316" y="5013"/>
              </a:cubicBezTo>
              <a:cubicBezTo>
                <a:pt x="491236" y="5663"/>
                <a:pt x="478501" y="14241"/>
                <a:pt x="471237" y="20052"/>
              </a:cubicBezTo>
              <a:cubicBezTo>
                <a:pt x="467546" y="23005"/>
                <a:pt x="464901" y="27126"/>
                <a:pt x="461210" y="30079"/>
              </a:cubicBezTo>
              <a:cubicBezTo>
                <a:pt x="456505" y="33843"/>
                <a:pt x="450876" y="36341"/>
                <a:pt x="446171" y="40105"/>
              </a:cubicBezTo>
              <a:cubicBezTo>
                <a:pt x="442480" y="43058"/>
                <a:pt x="440197" y="47699"/>
                <a:pt x="436144" y="50131"/>
              </a:cubicBezTo>
              <a:cubicBezTo>
                <a:pt x="431613" y="52850"/>
                <a:pt x="426118" y="53474"/>
                <a:pt x="421105" y="55145"/>
              </a:cubicBezTo>
              <a:cubicBezTo>
                <a:pt x="407737" y="53474"/>
                <a:pt x="394255" y="52541"/>
                <a:pt x="381000" y="50131"/>
              </a:cubicBezTo>
              <a:cubicBezTo>
                <a:pt x="343307" y="43277"/>
                <a:pt x="394634" y="44778"/>
                <a:pt x="340894" y="40105"/>
              </a:cubicBezTo>
              <a:cubicBezTo>
                <a:pt x="310882" y="37495"/>
                <a:pt x="280737" y="36763"/>
                <a:pt x="250658" y="35092"/>
              </a:cubicBezTo>
              <a:cubicBezTo>
                <a:pt x="245645" y="33421"/>
                <a:pt x="240699" y="31531"/>
                <a:pt x="235618" y="30079"/>
              </a:cubicBezTo>
              <a:cubicBezTo>
                <a:pt x="228993" y="28186"/>
                <a:pt x="222165" y="27046"/>
                <a:pt x="215566" y="25066"/>
              </a:cubicBezTo>
              <a:cubicBezTo>
                <a:pt x="205443" y="22029"/>
                <a:pt x="185487" y="15039"/>
                <a:pt x="185487" y="15039"/>
              </a:cubicBezTo>
              <a:cubicBezTo>
                <a:pt x="132013" y="16710"/>
                <a:pt x="78177" y="13614"/>
                <a:pt x="25066" y="20052"/>
              </a:cubicBezTo>
              <a:cubicBezTo>
                <a:pt x="19820" y="20688"/>
                <a:pt x="23789" y="31355"/>
                <a:pt x="20052" y="35092"/>
              </a:cubicBezTo>
              <a:cubicBezTo>
                <a:pt x="16316" y="38828"/>
                <a:pt x="10026" y="38434"/>
                <a:pt x="5013" y="40105"/>
              </a:cubicBezTo>
              <a:cubicBezTo>
                <a:pt x="3342" y="45118"/>
                <a:pt x="0" y="49861"/>
                <a:pt x="0" y="55145"/>
              </a:cubicBezTo>
              <a:cubicBezTo>
                <a:pt x="0" y="69655"/>
                <a:pt x="11010" y="76181"/>
                <a:pt x="20052" y="85223"/>
              </a:cubicBezTo>
              <a:cubicBezTo>
                <a:pt x="31551" y="119715"/>
                <a:pt x="20052" y="78013"/>
                <a:pt x="20052" y="140368"/>
              </a:cubicBezTo>
              <a:cubicBezTo>
                <a:pt x="20052" y="148211"/>
                <a:pt x="25768" y="201227"/>
                <a:pt x="35092" y="210552"/>
              </a:cubicBezTo>
              <a:lnTo>
                <a:pt x="45118" y="220579"/>
              </a:lnTo>
              <a:cubicBezTo>
                <a:pt x="68562" y="290913"/>
                <a:pt x="41617" y="203072"/>
                <a:pt x="60158" y="295776"/>
              </a:cubicBezTo>
              <a:cubicBezTo>
                <a:pt x="62231" y="306139"/>
                <a:pt x="66842" y="315829"/>
                <a:pt x="70184" y="325855"/>
              </a:cubicBezTo>
              <a:lnTo>
                <a:pt x="75197" y="340895"/>
              </a:lnTo>
              <a:cubicBezTo>
                <a:pt x="75971" y="347088"/>
                <a:pt x="80917" y="394585"/>
                <a:pt x="85223" y="406066"/>
              </a:cubicBezTo>
              <a:cubicBezTo>
                <a:pt x="87339" y="411707"/>
                <a:pt x="91908" y="416092"/>
                <a:pt x="95250" y="421105"/>
              </a:cubicBezTo>
              <a:cubicBezTo>
                <a:pt x="104858" y="449931"/>
                <a:pt x="97595" y="425152"/>
                <a:pt x="105276" y="471237"/>
              </a:cubicBezTo>
              <a:cubicBezTo>
                <a:pt x="116759" y="540134"/>
                <a:pt x="103180" y="439429"/>
                <a:pt x="115302" y="536408"/>
              </a:cubicBezTo>
              <a:cubicBezTo>
                <a:pt x="116973" y="578184"/>
                <a:pt x="117624" y="620014"/>
                <a:pt x="120316" y="661737"/>
              </a:cubicBezTo>
              <a:cubicBezTo>
                <a:pt x="120970" y="671881"/>
                <a:pt x="124605" y="681677"/>
                <a:pt x="125329" y="691816"/>
              </a:cubicBezTo>
              <a:cubicBezTo>
                <a:pt x="127951" y="728523"/>
                <a:pt x="127894" y="765386"/>
                <a:pt x="130342" y="802105"/>
              </a:cubicBezTo>
              <a:cubicBezTo>
                <a:pt x="131238" y="815548"/>
                <a:pt x="133781" y="828830"/>
                <a:pt x="135355" y="842210"/>
              </a:cubicBezTo>
              <a:cubicBezTo>
                <a:pt x="137123" y="857239"/>
                <a:pt x="137400" y="872491"/>
                <a:pt x="140368" y="887329"/>
              </a:cubicBezTo>
              <a:cubicBezTo>
                <a:pt x="145482" y="912899"/>
                <a:pt x="148418" y="914444"/>
                <a:pt x="160421" y="932447"/>
              </a:cubicBezTo>
              <a:cubicBezTo>
                <a:pt x="163763" y="959184"/>
                <a:pt x="161926" y="987096"/>
                <a:pt x="170447" y="1012658"/>
              </a:cubicBezTo>
              <a:lnTo>
                <a:pt x="180473" y="1042737"/>
              </a:lnTo>
              <a:cubicBezTo>
                <a:pt x="182144" y="1047750"/>
                <a:pt x="182556" y="1053379"/>
                <a:pt x="185487" y="1057776"/>
              </a:cubicBezTo>
              <a:cubicBezTo>
                <a:pt x="188829" y="1062789"/>
                <a:pt x="193608" y="1067100"/>
                <a:pt x="195513" y="1072816"/>
              </a:cubicBezTo>
              <a:cubicBezTo>
                <a:pt x="196041" y="1074401"/>
                <a:pt x="174625" y="1040230"/>
                <a:pt x="190500" y="1032710"/>
              </a:cubicBezTo>
              <a:close/>
            </a:path>
          </a:pathLst>
        </a:custGeom>
        <a:solidFill>
          <a:srgbClr val="FFFF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36</xdr:col>
      <xdr:colOff>117190</xdr:colOff>
      <xdr:row>30</xdr:row>
      <xdr:rowOff>105276</xdr:rowOff>
    </xdr:from>
    <xdr:to>
      <xdr:col>37</xdr:col>
      <xdr:colOff>561474</xdr:colOff>
      <xdr:row>34</xdr:row>
      <xdr:rowOff>70184</xdr:rowOff>
    </xdr:to>
    <xdr:sp macro="" textlink="">
      <xdr:nvSpPr>
        <xdr:cNvPr id="22" name="Freeform 21"/>
        <xdr:cNvSpPr/>
      </xdr:nvSpPr>
      <xdr:spPr>
        <a:xfrm>
          <a:off x="21605590" y="5820276"/>
          <a:ext cx="1053884" cy="726908"/>
        </a:xfrm>
        <a:custGeom>
          <a:avLst/>
          <a:gdLst>
            <a:gd name="connsiteX0" fmla="*/ 118 w 1057895"/>
            <a:gd name="connsiteY0" fmla="*/ 305803 h 726908"/>
            <a:gd name="connsiteX1" fmla="*/ 5132 w 1057895"/>
            <a:gd name="connsiteY1" fmla="*/ 330869 h 726908"/>
            <a:gd name="connsiteX2" fmla="*/ 10145 w 1057895"/>
            <a:gd name="connsiteY2" fmla="*/ 345908 h 726908"/>
            <a:gd name="connsiteX3" fmla="*/ 20171 w 1057895"/>
            <a:gd name="connsiteY3" fmla="*/ 426119 h 726908"/>
            <a:gd name="connsiteX4" fmla="*/ 25184 w 1057895"/>
            <a:gd name="connsiteY4" fmla="*/ 441158 h 726908"/>
            <a:gd name="connsiteX5" fmla="*/ 35210 w 1057895"/>
            <a:gd name="connsiteY5" fmla="*/ 451185 h 726908"/>
            <a:gd name="connsiteX6" fmla="*/ 40224 w 1057895"/>
            <a:gd name="connsiteY6" fmla="*/ 466224 h 726908"/>
            <a:gd name="connsiteX7" fmla="*/ 55263 w 1057895"/>
            <a:gd name="connsiteY7" fmla="*/ 481263 h 726908"/>
            <a:gd name="connsiteX8" fmla="*/ 60276 w 1057895"/>
            <a:gd name="connsiteY8" fmla="*/ 506329 h 726908"/>
            <a:gd name="connsiteX9" fmla="*/ 75316 w 1057895"/>
            <a:gd name="connsiteY9" fmla="*/ 556461 h 726908"/>
            <a:gd name="connsiteX10" fmla="*/ 90355 w 1057895"/>
            <a:gd name="connsiteY10" fmla="*/ 571500 h 726908"/>
            <a:gd name="connsiteX11" fmla="*/ 95368 w 1057895"/>
            <a:gd name="connsiteY11" fmla="*/ 611606 h 726908"/>
            <a:gd name="connsiteX12" fmla="*/ 105395 w 1057895"/>
            <a:gd name="connsiteY12" fmla="*/ 621632 h 726908"/>
            <a:gd name="connsiteX13" fmla="*/ 110408 w 1057895"/>
            <a:gd name="connsiteY13" fmla="*/ 646698 h 726908"/>
            <a:gd name="connsiteX14" fmla="*/ 120434 w 1057895"/>
            <a:gd name="connsiteY14" fmla="*/ 696829 h 726908"/>
            <a:gd name="connsiteX15" fmla="*/ 140487 w 1057895"/>
            <a:gd name="connsiteY15" fmla="*/ 716882 h 726908"/>
            <a:gd name="connsiteX16" fmla="*/ 170566 w 1057895"/>
            <a:gd name="connsiteY16" fmla="*/ 726908 h 726908"/>
            <a:gd name="connsiteX17" fmla="*/ 205658 w 1057895"/>
            <a:gd name="connsiteY17" fmla="*/ 721895 h 726908"/>
            <a:gd name="connsiteX18" fmla="*/ 295895 w 1057895"/>
            <a:gd name="connsiteY18" fmla="*/ 716882 h 726908"/>
            <a:gd name="connsiteX19" fmla="*/ 305921 w 1057895"/>
            <a:gd name="connsiteY19" fmla="*/ 701842 h 726908"/>
            <a:gd name="connsiteX20" fmla="*/ 320960 w 1057895"/>
            <a:gd name="connsiteY20" fmla="*/ 696829 h 726908"/>
            <a:gd name="connsiteX21" fmla="*/ 330987 w 1057895"/>
            <a:gd name="connsiteY21" fmla="*/ 686803 h 726908"/>
            <a:gd name="connsiteX22" fmla="*/ 341013 w 1057895"/>
            <a:gd name="connsiteY22" fmla="*/ 656724 h 726908"/>
            <a:gd name="connsiteX23" fmla="*/ 456316 w 1057895"/>
            <a:gd name="connsiteY23" fmla="*/ 646698 h 726908"/>
            <a:gd name="connsiteX24" fmla="*/ 471355 w 1057895"/>
            <a:gd name="connsiteY24" fmla="*/ 641685 h 726908"/>
            <a:gd name="connsiteX25" fmla="*/ 481382 w 1057895"/>
            <a:gd name="connsiteY25" fmla="*/ 631658 h 726908"/>
            <a:gd name="connsiteX26" fmla="*/ 501434 w 1057895"/>
            <a:gd name="connsiteY26" fmla="*/ 626645 h 726908"/>
            <a:gd name="connsiteX27" fmla="*/ 516474 w 1057895"/>
            <a:gd name="connsiteY27" fmla="*/ 616619 h 726908"/>
            <a:gd name="connsiteX28" fmla="*/ 531513 w 1057895"/>
            <a:gd name="connsiteY28" fmla="*/ 611606 h 726908"/>
            <a:gd name="connsiteX29" fmla="*/ 551566 w 1057895"/>
            <a:gd name="connsiteY29" fmla="*/ 591553 h 726908"/>
            <a:gd name="connsiteX30" fmla="*/ 561592 w 1057895"/>
            <a:gd name="connsiteY30" fmla="*/ 576513 h 726908"/>
            <a:gd name="connsiteX31" fmla="*/ 581645 w 1057895"/>
            <a:gd name="connsiteY31" fmla="*/ 571500 h 726908"/>
            <a:gd name="connsiteX32" fmla="*/ 596684 w 1057895"/>
            <a:gd name="connsiteY32" fmla="*/ 561474 h 726908"/>
            <a:gd name="connsiteX33" fmla="*/ 636789 w 1057895"/>
            <a:gd name="connsiteY33" fmla="*/ 556461 h 726908"/>
            <a:gd name="connsiteX34" fmla="*/ 656842 w 1057895"/>
            <a:gd name="connsiteY34" fmla="*/ 551448 h 726908"/>
            <a:gd name="connsiteX35" fmla="*/ 666868 w 1057895"/>
            <a:gd name="connsiteY35" fmla="*/ 541421 h 726908"/>
            <a:gd name="connsiteX36" fmla="*/ 681908 w 1057895"/>
            <a:gd name="connsiteY36" fmla="*/ 536408 h 726908"/>
            <a:gd name="connsiteX37" fmla="*/ 686921 w 1057895"/>
            <a:gd name="connsiteY37" fmla="*/ 511342 h 726908"/>
            <a:gd name="connsiteX38" fmla="*/ 717000 w 1057895"/>
            <a:gd name="connsiteY38" fmla="*/ 476250 h 726908"/>
            <a:gd name="connsiteX39" fmla="*/ 732039 w 1057895"/>
            <a:gd name="connsiteY39" fmla="*/ 471237 h 726908"/>
            <a:gd name="connsiteX40" fmla="*/ 747079 w 1057895"/>
            <a:gd name="connsiteY40" fmla="*/ 461211 h 726908"/>
            <a:gd name="connsiteX41" fmla="*/ 782171 w 1057895"/>
            <a:gd name="connsiteY41" fmla="*/ 451185 h 726908"/>
            <a:gd name="connsiteX42" fmla="*/ 797210 w 1057895"/>
            <a:gd name="connsiteY42" fmla="*/ 446171 h 726908"/>
            <a:gd name="connsiteX43" fmla="*/ 877421 w 1057895"/>
            <a:gd name="connsiteY43" fmla="*/ 431132 h 726908"/>
            <a:gd name="connsiteX44" fmla="*/ 907500 w 1057895"/>
            <a:gd name="connsiteY44" fmla="*/ 421106 h 726908"/>
            <a:gd name="connsiteX45" fmla="*/ 932566 w 1057895"/>
            <a:gd name="connsiteY45" fmla="*/ 406066 h 726908"/>
            <a:gd name="connsiteX46" fmla="*/ 962645 w 1057895"/>
            <a:gd name="connsiteY46" fmla="*/ 391027 h 726908"/>
            <a:gd name="connsiteX47" fmla="*/ 972671 w 1057895"/>
            <a:gd name="connsiteY47" fmla="*/ 381000 h 726908"/>
            <a:gd name="connsiteX48" fmla="*/ 987710 w 1057895"/>
            <a:gd name="connsiteY48" fmla="*/ 370974 h 726908"/>
            <a:gd name="connsiteX49" fmla="*/ 992724 w 1057895"/>
            <a:gd name="connsiteY49" fmla="*/ 355935 h 726908"/>
            <a:gd name="connsiteX50" fmla="*/ 987710 w 1057895"/>
            <a:gd name="connsiteY50" fmla="*/ 320842 h 726908"/>
            <a:gd name="connsiteX51" fmla="*/ 982697 w 1057895"/>
            <a:gd name="connsiteY51" fmla="*/ 295777 h 726908"/>
            <a:gd name="connsiteX52" fmla="*/ 987710 w 1057895"/>
            <a:gd name="connsiteY52" fmla="*/ 280737 h 726908"/>
            <a:gd name="connsiteX53" fmla="*/ 1017789 w 1057895"/>
            <a:gd name="connsiteY53" fmla="*/ 270711 h 726908"/>
            <a:gd name="connsiteX54" fmla="*/ 1027816 w 1057895"/>
            <a:gd name="connsiteY54" fmla="*/ 260685 h 726908"/>
            <a:gd name="connsiteX55" fmla="*/ 1052882 w 1057895"/>
            <a:gd name="connsiteY55" fmla="*/ 255671 h 726908"/>
            <a:gd name="connsiteX56" fmla="*/ 1057895 w 1057895"/>
            <a:gd name="connsiteY56" fmla="*/ 240632 h 726908"/>
            <a:gd name="connsiteX57" fmla="*/ 1052882 w 1057895"/>
            <a:gd name="connsiteY57" fmla="*/ 205540 h 726908"/>
            <a:gd name="connsiteX58" fmla="*/ 1042855 w 1057895"/>
            <a:gd name="connsiteY58" fmla="*/ 195513 h 726908"/>
            <a:gd name="connsiteX59" fmla="*/ 1022803 w 1057895"/>
            <a:gd name="connsiteY59" fmla="*/ 170448 h 726908"/>
            <a:gd name="connsiteX60" fmla="*/ 1017789 w 1057895"/>
            <a:gd name="connsiteY60" fmla="*/ 145382 h 726908"/>
            <a:gd name="connsiteX61" fmla="*/ 987710 w 1057895"/>
            <a:gd name="connsiteY61" fmla="*/ 105277 h 726908"/>
            <a:gd name="connsiteX62" fmla="*/ 967658 w 1057895"/>
            <a:gd name="connsiteY62" fmla="*/ 65171 h 726908"/>
            <a:gd name="connsiteX63" fmla="*/ 952618 w 1057895"/>
            <a:gd name="connsiteY63" fmla="*/ 55145 h 726908"/>
            <a:gd name="connsiteX64" fmla="*/ 942592 w 1057895"/>
            <a:gd name="connsiteY64" fmla="*/ 40106 h 726908"/>
            <a:gd name="connsiteX65" fmla="*/ 927553 w 1057895"/>
            <a:gd name="connsiteY65" fmla="*/ 35092 h 726908"/>
            <a:gd name="connsiteX66" fmla="*/ 922539 w 1057895"/>
            <a:gd name="connsiteY66" fmla="*/ 20053 h 726908"/>
            <a:gd name="connsiteX67" fmla="*/ 897474 w 1057895"/>
            <a:gd name="connsiteY67" fmla="*/ 0 h 726908"/>
            <a:gd name="connsiteX68" fmla="*/ 877421 w 1057895"/>
            <a:gd name="connsiteY68" fmla="*/ 5013 h 726908"/>
            <a:gd name="connsiteX69" fmla="*/ 862382 w 1057895"/>
            <a:gd name="connsiteY69" fmla="*/ 10027 h 726908"/>
            <a:gd name="connsiteX70" fmla="*/ 767132 w 1057895"/>
            <a:gd name="connsiteY70" fmla="*/ 20053 h 726908"/>
            <a:gd name="connsiteX71" fmla="*/ 717000 w 1057895"/>
            <a:gd name="connsiteY71" fmla="*/ 35092 h 726908"/>
            <a:gd name="connsiteX72" fmla="*/ 686921 w 1057895"/>
            <a:gd name="connsiteY72" fmla="*/ 45119 h 726908"/>
            <a:gd name="connsiteX73" fmla="*/ 606710 w 1057895"/>
            <a:gd name="connsiteY73" fmla="*/ 50132 h 726908"/>
            <a:gd name="connsiteX74" fmla="*/ 576632 w 1057895"/>
            <a:gd name="connsiteY74" fmla="*/ 65171 h 726908"/>
            <a:gd name="connsiteX75" fmla="*/ 561592 w 1057895"/>
            <a:gd name="connsiteY75" fmla="*/ 70185 h 726908"/>
            <a:gd name="connsiteX76" fmla="*/ 531513 w 1057895"/>
            <a:gd name="connsiteY76" fmla="*/ 85224 h 726908"/>
            <a:gd name="connsiteX77" fmla="*/ 526500 w 1057895"/>
            <a:gd name="connsiteY77" fmla="*/ 100263 h 726908"/>
            <a:gd name="connsiteX78" fmla="*/ 521487 w 1057895"/>
            <a:gd name="connsiteY78" fmla="*/ 125329 h 726908"/>
            <a:gd name="connsiteX79" fmla="*/ 511460 w 1057895"/>
            <a:gd name="connsiteY79" fmla="*/ 135356 h 726908"/>
            <a:gd name="connsiteX80" fmla="*/ 506447 w 1057895"/>
            <a:gd name="connsiteY80" fmla="*/ 150395 h 726908"/>
            <a:gd name="connsiteX81" fmla="*/ 491408 w 1057895"/>
            <a:gd name="connsiteY81" fmla="*/ 155408 h 726908"/>
            <a:gd name="connsiteX82" fmla="*/ 481382 w 1057895"/>
            <a:gd name="connsiteY82" fmla="*/ 185487 h 726908"/>
            <a:gd name="connsiteX83" fmla="*/ 466342 w 1057895"/>
            <a:gd name="connsiteY83" fmla="*/ 215566 h 726908"/>
            <a:gd name="connsiteX84" fmla="*/ 451303 w 1057895"/>
            <a:gd name="connsiteY84" fmla="*/ 225592 h 726908"/>
            <a:gd name="connsiteX85" fmla="*/ 436263 w 1057895"/>
            <a:gd name="connsiteY85" fmla="*/ 220579 h 726908"/>
            <a:gd name="connsiteX86" fmla="*/ 330987 w 1057895"/>
            <a:gd name="connsiteY86" fmla="*/ 210553 h 726908"/>
            <a:gd name="connsiteX87" fmla="*/ 65289 w 1057895"/>
            <a:gd name="connsiteY87" fmla="*/ 195513 h 726908"/>
            <a:gd name="connsiteX88" fmla="*/ 40224 w 1057895"/>
            <a:gd name="connsiteY88" fmla="*/ 175461 h 726908"/>
            <a:gd name="connsiteX89" fmla="*/ 30197 w 1057895"/>
            <a:gd name="connsiteY89" fmla="*/ 185487 h 726908"/>
            <a:gd name="connsiteX90" fmla="*/ 20171 w 1057895"/>
            <a:gd name="connsiteY90" fmla="*/ 225592 h 726908"/>
            <a:gd name="connsiteX91" fmla="*/ 25184 w 1057895"/>
            <a:gd name="connsiteY91" fmla="*/ 245645 h 726908"/>
            <a:gd name="connsiteX92" fmla="*/ 20171 w 1057895"/>
            <a:gd name="connsiteY92" fmla="*/ 280737 h 726908"/>
            <a:gd name="connsiteX93" fmla="*/ 10145 w 1057895"/>
            <a:gd name="connsiteY93" fmla="*/ 295777 h 726908"/>
            <a:gd name="connsiteX94" fmla="*/ 118 w 1057895"/>
            <a:gd name="connsiteY94" fmla="*/ 305803 h 72690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</a:cxnLst>
          <a:rect l="l" t="t" r="r" b="b"/>
          <a:pathLst>
            <a:path w="1057895" h="726908">
              <a:moveTo>
                <a:pt x="118" y="305803"/>
              </a:moveTo>
              <a:cubicBezTo>
                <a:pt x="-718" y="311652"/>
                <a:pt x="3065" y="322603"/>
                <a:pt x="5132" y="330869"/>
              </a:cubicBezTo>
              <a:cubicBezTo>
                <a:pt x="6414" y="335995"/>
                <a:pt x="9447" y="340670"/>
                <a:pt x="10145" y="345908"/>
              </a:cubicBezTo>
              <a:cubicBezTo>
                <a:pt x="18401" y="407833"/>
                <a:pt x="9363" y="388291"/>
                <a:pt x="20171" y="426119"/>
              </a:cubicBezTo>
              <a:cubicBezTo>
                <a:pt x="21623" y="431200"/>
                <a:pt x="22465" y="436627"/>
                <a:pt x="25184" y="441158"/>
              </a:cubicBezTo>
              <a:cubicBezTo>
                <a:pt x="27616" y="445211"/>
                <a:pt x="31868" y="447843"/>
                <a:pt x="35210" y="451185"/>
              </a:cubicBezTo>
              <a:cubicBezTo>
                <a:pt x="36881" y="456198"/>
                <a:pt x="37293" y="461827"/>
                <a:pt x="40224" y="466224"/>
              </a:cubicBezTo>
              <a:cubicBezTo>
                <a:pt x="44157" y="472123"/>
                <a:pt x="52093" y="474922"/>
                <a:pt x="55263" y="481263"/>
              </a:cubicBezTo>
              <a:cubicBezTo>
                <a:pt x="59074" y="488884"/>
                <a:pt x="58428" y="498011"/>
                <a:pt x="60276" y="506329"/>
              </a:cubicBezTo>
              <a:cubicBezTo>
                <a:pt x="62224" y="515093"/>
                <a:pt x="71744" y="552889"/>
                <a:pt x="75316" y="556461"/>
              </a:cubicBezTo>
              <a:lnTo>
                <a:pt x="90355" y="571500"/>
              </a:lnTo>
              <a:cubicBezTo>
                <a:pt x="92026" y="584869"/>
                <a:pt x="91497" y="598702"/>
                <a:pt x="95368" y="611606"/>
              </a:cubicBezTo>
              <a:cubicBezTo>
                <a:pt x="96726" y="616133"/>
                <a:pt x="103533" y="617288"/>
                <a:pt x="105395" y="621632"/>
              </a:cubicBezTo>
              <a:cubicBezTo>
                <a:pt x="108752" y="629464"/>
                <a:pt x="109007" y="638293"/>
                <a:pt x="110408" y="646698"/>
              </a:cubicBezTo>
              <a:cubicBezTo>
                <a:pt x="110615" y="647943"/>
                <a:pt x="114168" y="688056"/>
                <a:pt x="120434" y="696829"/>
              </a:cubicBezTo>
              <a:cubicBezTo>
                <a:pt x="125929" y="704521"/>
                <a:pt x="131519" y="713893"/>
                <a:pt x="140487" y="716882"/>
              </a:cubicBezTo>
              <a:lnTo>
                <a:pt x="170566" y="726908"/>
              </a:lnTo>
              <a:cubicBezTo>
                <a:pt x="182263" y="725237"/>
                <a:pt x="193880" y="722837"/>
                <a:pt x="205658" y="721895"/>
              </a:cubicBezTo>
              <a:cubicBezTo>
                <a:pt x="235687" y="719493"/>
                <a:pt x="266355" y="722790"/>
                <a:pt x="295895" y="716882"/>
              </a:cubicBezTo>
              <a:cubicBezTo>
                <a:pt x="301803" y="715700"/>
                <a:pt x="301216" y="705606"/>
                <a:pt x="305921" y="701842"/>
              </a:cubicBezTo>
              <a:cubicBezTo>
                <a:pt x="310047" y="698541"/>
                <a:pt x="315947" y="698500"/>
                <a:pt x="320960" y="696829"/>
              </a:cubicBezTo>
              <a:cubicBezTo>
                <a:pt x="324302" y="693487"/>
                <a:pt x="328873" y="691031"/>
                <a:pt x="330987" y="686803"/>
              </a:cubicBezTo>
              <a:cubicBezTo>
                <a:pt x="335714" y="677350"/>
                <a:pt x="330588" y="658461"/>
                <a:pt x="341013" y="656724"/>
              </a:cubicBezTo>
              <a:cubicBezTo>
                <a:pt x="399162" y="647033"/>
                <a:pt x="360945" y="652308"/>
                <a:pt x="456316" y="646698"/>
              </a:cubicBezTo>
              <a:cubicBezTo>
                <a:pt x="461329" y="645027"/>
                <a:pt x="466824" y="644404"/>
                <a:pt x="471355" y="641685"/>
              </a:cubicBezTo>
              <a:cubicBezTo>
                <a:pt x="475408" y="639253"/>
                <a:pt x="477154" y="633772"/>
                <a:pt x="481382" y="631658"/>
              </a:cubicBezTo>
              <a:cubicBezTo>
                <a:pt x="487544" y="628577"/>
                <a:pt x="494750" y="628316"/>
                <a:pt x="501434" y="626645"/>
              </a:cubicBezTo>
              <a:cubicBezTo>
                <a:pt x="506447" y="623303"/>
                <a:pt x="511085" y="619313"/>
                <a:pt x="516474" y="616619"/>
              </a:cubicBezTo>
              <a:cubicBezTo>
                <a:pt x="521200" y="614256"/>
                <a:pt x="527213" y="614677"/>
                <a:pt x="531513" y="611606"/>
              </a:cubicBezTo>
              <a:cubicBezTo>
                <a:pt x="539205" y="606111"/>
                <a:pt x="546323" y="599419"/>
                <a:pt x="551566" y="591553"/>
              </a:cubicBezTo>
              <a:cubicBezTo>
                <a:pt x="554908" y="586540"/>
                <a:pt x="556579" y="579855"/>
                <a:pt x="561592" y="576513"/>
              </a:cubicBezTo>
              <a:cubicBezTo>
                <a:pt x="567325" y="572691"/>
                <a:pt x="574961" y="573171"/>
                <a:pt x="581645" y="571500"/>
              </a:cubicBezTo>
              <a:cubicBezTo>
                <a:pt x="586658" y="568158"/>
                <a:pt x="590871" y="563059"/>
                <a:pt x="596684" y="561474"/>
              </a:cubicBezTo>
              <a:cubicBezTo>
                <a:pt x="609682" y="557929"/>
                <a:pt x="623500" y="558676"/>
                <a:pt x="636789" y="556461"/>
              </a:cubicBezTo>
              <a:cubicBezTo>
                <a:pt x="643585" y="555328"/>
                <a:pt x="650158" y="553119"/>
                <a:pt x="656842" y="551448"/>
              </a:cubicBezTo>
              <a:cubicBezTo>
                <a:pt x="660184" y="548106"/>
                <a:pt x="662815" y="543853"/>
                <a:pt x="666868" y="541421"/>
              </a:cubicBezTo>
              <a:cubicBezTo>
                <a:pt x="671399" y="538702"/>
                <a:pt x="678977" y="540805"/>
                <a:pt x="681908" y="536408"/>
              </a:cubicBezTo>
              <a:cubicBezTo>
                <a:pt x="686635" y="529318"/>
                <a:pt x="683929" y="519320"/>
                <a:pt x="686921" y="511342"/>
              </a:cubicBezTo>
              <a:cubicBezTo>
                <a:pt x="690128" y="502789"/>
                <a:pt x="711613" y="478046"/>
                <a:pt x="717000" y="476250"/>
              </a:cubicBezTo>
              <a:cubicBezTo>
                <a:pt x="722013" y="474579"/>
                <a:pt x="727313" y="473600"/>
                <a:pt x="732039" y="471237"/>
              </a:cubicBezTo>
              <a:cubicBezTo>
                <a:pt x="737428" y="468543"/>
                <a:pt x="741690" y="463905"/>
                <a:pt x="747079" y="461211"/>
              </a:cubicBezTo>
              <a:cubicBezTo>
                <a:pt x="755094" y="457203"/>
                <a:pt x="774673" y="453328"/>
                <a:pt x="782171" y="451185"/>
              </a:cubicBezTo>
              <a:cubicBezTo>
                <a:pt x="787252" y="449733"/>
                <a:pt x="792028" y="447207"/>
                <a:pt x="797210" y="446171"/>
              </a:cubicBezTo>
              <a:cubicBezTo>
                <a:pt x="827804" y="440052"/>
                <a:pt x="849969" y="439367"/>
                <a:pt x="877421" y="431132"/>
              </a:cubicBezTo>
              <a:cubicBezTo>
                <a:pt x="887544" y="428095"/>
                <a:pt x="907500" y="421106"/>
                <a:pt x="907500" y="421106"/>
              </a:cubicBezTo>
              <a:cubicBezTo>
                <a:pt x="927082" y="401522"/>
                <a:pt x="906535" y="419081"/>
                <a:pt x="932566" y="406066"/>
              </a:cubicBezTo>
              <a:cubicBezTo>
                <a:pt x="971439" y="386630"/>
                <a:pt x="924841" y="403628"/>
                <a:pt x="962645" y="391027"/>
              </a:cubicBezTo>
              <a:cubicBezTo>
                <a:pt x="965987" y="387685"/>
                <a:pt x="968980" y="383953"/>
                <a:pt x="972671" y="381000"/>
              </a:cubicBezTo>
              <a:cubicBezTo>
                <a:pt x="977376" y="377236"/>
                <a:pt x="983946" y="375679"/>
                <a:pt x="987710" y="370974"/>
              </a:cubicBezTo>
              <a:cubicBezTo>
                <a:pt x="991011" y="366848"/>
                <a:pt x="991053" y="360948"/>
                <a:pt x="992724" y="355935"/>
              </a:cubicBezTo>
              <a:cubicBezTo>
                <a:pt x="991053" y="344237"/>
                <a:pt x="989653" y="332498"/>
                <a:pt x="987710" y="320842"/>
              </a:cubicBezTo>
              <a:cubicBezTo>
                <a:pt x="986309" y="312437"/>
                <a:pt x="982697" y="304297"/>
                <a:pt x="982697" y="295777"/>
              </a:cubicBezTo>
              <a:cubicBezTo>
                <a:pt x="982697" y="290493"/>
                <a:pt x="983410" y="283809"/>
                <a:pt x="987710" y="280737"/>
              </a:cubicBezTo>
              <a:cubicBezTo>
                <a:pt x="996310" y="274594"/>
                <a:pt x="1017789" y="270711"/>
                <a:pt x="1017789" y="270711"/>
              </a:cubicBezTo>
              <a:cubicBezTo>
                <a:pt x="1021131" y="267369"/>
                <a:pt x="1023472" y="262547"/>
                <a:pt x="1027816" y="260685"/>
              </a:cubicBezTo>
              <a:cubicBezTo>
                <a:pt x="1035648" y="257328"/>
                <a:pt x="1045792" y="260398"/>
                <a:pt x="1052882" y="255671"/>
              </a:cubicBezTo>
              <a:cubicBezTo>
                <a:pt x="1057279" y="252740"/>
                <a:pt x="1056224" y="245645"/>
                <a:pt x="1057895" y="240632"/>
              </a:cubicBezTo>
              <a:cubicBezTo>
                <a:pt x="1056224" y="228935"/>
                <a:pt x="1056619" y="216750"/>
                <a:pt x="1052882" y="205540"/>
              </a:cubicBezTo>
              <a:cubicBezTo>
                <a:pt x="1051387" y="201056"/>
                <a:pt x="1045287" y="199566"/>
                <a:pt x="1042855" y="195513"/>
              </a:cubicBezTo>
              <a:cubicBezTo>
                <a:pt x="1026712" y="168608"/>
                <a:pt x="1052757" y="190417"/>
                <a:pt x="1022803" y="170448"/>
              </a:cubicBezTo>
              <a:cubicBezTo>
                <a:pt x="1021132" y="162093"/>
                <a:pt x="1021315" y="153139"/>
                <a:pt x="1017789" y="145382"/>
              </a:cubicBezTo>
              <a:cubicBezTo>
                <a:pt x="1008339" y="124593"/>
                <a:pt x="1001071" y="118637"/>
                <a:pt x="987710" y="105277"/>
              </a:cubicBezTo>
              <a:cubicBezTo>
                <a:pt x="979748" y="81390"/>
                <a:pt x="983565" y="77897"/>
                <a:pt x="967658" y="65171"/>
              </a:cubicBezTo>
              <a:cubicBezTo>
                <a:pt x="962953" y="61407"/>
                <a:pt x="957631" y="58487"/>
                <a:pt x="952618" y="55145"/>
              </a:cubicBezTo>
              <a:cubicBezTo>
                <a:pt x="949276" y="50132"/>
                <a:pt x="947297" y="43870"/>
                <a:pt x="942592" y="40106"/>
              </a:cubicBezTo>
              <a:cubicBezTo>
                <a:pt x="938466" y="36805"/>
                <a:pt x="931290" y="38829"/>
                <a:pt x="927553" y="35092"/>
              </a:cubicBezTo>
              <a:cubicBezTo>
                <a:pt x="923816" y="31355"/>
                <a:pt x="924902" y="24779"/>
                <a:pt x="922539" y="20053"/>
              </a:cubicBezTo>
              <a:cubicBezTo>
                <a:pt x="913468" y="1912"/>
                <a:pt x="914821" y="5782"/>
                <a:pt x="897474" y="0"/>
              </a:cubicBezTo>
              <a:cubicBezTo>
                <a:pt x="890790" y="1671"/>
                <a:pt x="884046" y="3120"/>
                <a:pt x="877421" y="5013"/>
              </a:cubicBezTo>
              <a:cubicBezTo>
                <a:pt x="872340" y="6465"/>
                <a:pt x="867618" y="9313"/>
                <a:pt x="862382" y="10027"/>
              </a:cubicBezTo>
              <a:cubicBezTo>
                <a:pt x="830749" y="14341"/>
                <a:pt x="767132" y="20053"/>
                <a:pt x="767132" y="20053"/>
              </a:cubicBezTo>
              <a:cubicBezTo>
                <a:pt x="736831" y="27628"/>
                <a:pt x="753607" y="22889"/>
                <a:pt x="717000" y="35092"/>
              </a:cubicBezTo>
              <a:cubicBezTo>
                <a:pt x="716998" y="35093"/>
                <a:pt x="686924" y="45119"/>
                <a:pt x="686921" y="45119"/>
              </a:cubicBezTo>
              <a:lnTo>
                <a:pt x="606710" y="50132"/>
              </a:lnTo>
              <a:cubicBezTo>
                <a:pt x="568912" y="62731"/>
                <a:pt x="615500" y="45737"/>
                <a:pt x="576632" y="65171"/>
              </a:cubicBezTo>
              <a:cubicBezTo>
                <a:pt x="571905" y="67534"/>
                <a:pt x="566319" y="67822"/>
                <a:pt x="561592" y="70185"/>
              </a:cubicBezTo>
              <a:cubicBezTo>
                <a:pt x="522727" y="89618"/>
                <a:pt x="569311" y="72626"/>
                <a:pt x="531513" y="85224"/>
              </a:cubicBezTo>
              <a:cubicBezTo>
                <a:pt x="529842" y="90237"/>
                <a:pt x="527782" y="95137"/>
                <a:pt x="526500" y="100263"/>
              </a:cubicBezTo>
              <a:cubicBezTo>
                <a:pt x="524433" y="108529"/>
                <a:pt x="524844" y="117497"/>
                <a:pt x="521487" y="125329"/>
              </a:cubicBezTo>
              <a:cubicBezTo>
                <a:pt x="519625" y="129674"/>
                <a:pt x="514802" y="132014"/>
                <a:pt x="511460" y="135356"/>
              </a:cubicBezTo>
              <a:cubicBezTo>
                <a:pt x="509789" y="140369"/>
                <a:pt x="510183" y="146659"/>
                <a:pt x="506447" y="150395"/>
              </a:cubicBezTo>
              <a:cubicBezTo>
                <a:pt x="502711" y="154131"/>
                <a:pt x="494479" y="151108"/>
                <a:pt x="491408" y="155408"/>
              </a:cubicBezTo>
              <a:cubicBezTo>
                <a:pt x="485265" y="164008"/>
                <a:pt x="484724" y="175461"/>
                <a:pt x="481382" y="185487"/>
              </a:cubicBezTo>
              <a:cubicBezTo>
                <a:pt x="477305" y="197717"/>
                <a:pt x="476059" y="205849"/>
                <a:pt x="466342" y="215566"/>
              </a:cubicBezTo>
              <a:cubicBezTo>
                <a:pt x="462082" y="219826"/>
                <a:pt x="456316" y="222250"/>
                <a:pt x="451303" y="225592"/>
              </a:cubicBezTo>
              <a:cubicBezTo>
                <a:pt x="446290" y="223921"/>
                <a:pt x="441390" y="221861"/>
                <a:pt x="436263" y="220579"/>
              </a:cubicBezTo>
              <a:cubicBezTo>
                <a:pt x="398031" y="211022"/>
                <a:pt x="378506" y="213868"/>
                <a:pt x="330987" y="210553"/>
              </a:cubicBezTo>
              <a:cubicBezTo>
                <a:pt x="127681" y="196369"/>
                <a:pt x="264473" y="203175"/>
                <a:pt x="65289" y="195513"/>
              </a:cubicBezTo>
              <a:cubicBezTo>
                <a:pt x="60638" y="181561"/>
                <a:pt x="62089" y="171817"/>
                <a:pt x="40224" y="175461"/>
              </a:cubicBezTo>
              <a:cubicBezTo>
                <a:pt x="35562" y="176238"/>
                <a:pt x="33539" y="182145"/>
                <a:pt x="30197" y="185487"/>
              </a:cubicBezTo>
              <a:cubicBezTo>
                <a:pt x="26242" y="197354"/>
                <a:pt x="20171" y="213494"/>
                <a:pt x="20171" y="225592"/>
              </a:cubicBezTo>
              <a:cubicBezTo>
                <a:pt x="20171" y="232482"/>
                <a:pt x="23513" y="238961"/>
                <a:pt x="25184" y="245645"/>
              </a:cubicBezTo>
              <a:cubicBezTo>
                <a:pt x="23513" y="257342"/>
                <a:pt x="23566" y="269419"/>
                <a:pt x="20171" y="280737"/>
              </a:cubicBezTo>
              <a:cubicBezTo>
                <a:pt x="18440" y="286508"/>
                <a:pt x="13245" y="290610"/>
                <a:pt x="10145" y="295777"/>
              </a:cubicBezTo>
              <a:cubicBezTo>
                <a:pt x="8223" y="298981"/>
                <a:pt x="954" y="299954"/>
                <a:pt x="118" y="305803"/>
              </a:cubicBezTo>
              <a:close/>
            </a:path>
          </a:pathLst>
        </a:custGeom>
        <a:solidFill>
          <a:srgbClr val="5BEB47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ln w="952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30</xdr:col>
      <xdr:colOff>309562</xdr:colOff>
      <xdr:row>22</xdr:row>
      <xdr:rowOff>166687</xdr:rowOff>
    </xdr:from>
    <xdr:to>
      <xdr:col>33</xdr:col>
      <xdr:colOff>46610</xdr:colOff>
      <xdr:row>30</xdr:row>
      <xdr:rowOff>35593</xdr:rowOff>
    </xdr:to>
    <xdr:sp macro="" textlink="">
      <xdr:nvSpPr>
        <xdr:cNvPr id="3" name="Freeform 2"/>
        <xdr:cNvSpPr/>
      </xdr:nvSpPr>
      <xdr:spPr>
        <a:xfrm>
          <a:off x="18526125" y="4381500"/>
          <a:ext cx="1784923" cy="1392906"/>
        </a:xfrm>
        <a:custGeom>
          <a:avLst/>
          <a:gdLst>
            <a:gd name="connsiteX0" fmla="*/ 1508961 w 1679396"/>
            <a:gd name="connsiteY0" fmla="*/ 166027 h 1399263"/>
            <a:gd name="connsiteX1" fmla="*/ 1503948 w 1679396"/>
            <a:gd name="connsiteY1" fmla="*/ 135948 h 1399263"/>
            <a:gd name="connsiteX2" fmla="*/ 1463842 w 1679396"/>
            <a:gd name="connsiteY2" fmla="*/ 115895 h 1399263"/>
            <a:gd name="connsiteX3" fmla="*/ 1433763 w 1679396"/>
            <a:gd name="connsiteY3" fmla="*/ 105869 h 1399263"/>
            <a:gd name="connsiteX4" fmla="*/ 1418724 w 1679396"/>
            <a:gd name="connsiteY4" fmla="*/ 100856 h 1399263"/>
            <a:gd name="connsiteX5" fmla="*/ 1398671 w 1679396"/>
            <a:gd name="connsiteY5" fmla="*/ 95842 h 1399263"/>
            <a:gd name="connsiteX6" fmla="*/ 1368592 w 1679396"/>
            <a:gd name="connsiteY6" fmla="*/ 85816 h 1399263"/>
            <a:gd name="connsiteX7" fmla="*/ 1353553 w 1679396"/>
            <a:gd name="connsiteY7" fmla="*/ 80803 h 1399263"/>
            <a:gd name="connsiteX8" fmla="*/ 1343526 w 1679396"/>
            <a:gd name="connsiteY8" fmla="*/ 70777 h 1399263"/>
            <a:gd name="connsiteX9" fmla="*/ 1313448 w 1679396"/>
            <a:gd name="connsiteY9" fmla="*/ 60750 h 1399263"/>
            <a:gd name="connsiteX10" fmla="*/ 1288382 w 1679396"/>
            <a:gd name="connsiteY10" fmla="*/ 40698 h 1399263"/>
            <a:gd name="connsiteX11" fmla="*/ 1278355 w 1679396"/>
            <a:gd name="connsiteY11" fmla="*/ 30671 h 1399263"/>
            <a:gd name="connsiteX12" fmla="*/ 1258303 w 1679396"/>
            <a:gd name="connsiteY12" fmla="*/ 25658 h 1399263"/>
            <a:gd name="connsiteX13" fmla="*/ 1243263 w 1679396"/>
            <a:gd name="connsiteY13" fmla="*/ 20645 h 1399263"/>
            <a:gd name="connsiteX14" fmla="*/ 1228224 w 1679396"/>
            <a:gd name="connsiteY14" fmla="*/ 10619 h 1399263"/>
            <a:gd name="connsiteX15" fmla="*/ 1183105 w 1679396"/>
            <a:gd name="connsiteY15" fmla="*/ 5606 h 1399263"/>
            <a:gd name="connsiteX16" fmla="*/ 1168066 w 1679396"/>
            <a:gd name="connsiteY16" fmla="*/ 592 h 1399263"/>
            <a:gd name="connsiteX17" fmla="*/ 1132974 w 1679396"/>
            <a:gd name="connsiteY17" fmla="*/ 5606 h 1399263"/>
            <a:gd name="connsiteX18" fmla="*/ 1112921 w 1679396"/>
            <a:gd name="connsiteY18" fmla="*/ 10619 h 1399263"/>
            <a:gd name="connsiteX19" fmla="*/ 1082842 w 1679396"/>
            <a:gd name="connsiteY19" fmla="*/ 15632 h 1399263"/>
            <a:gd name="connsiteX20" fmla="*/ 1067803 w 1679396"/>
            <a:gd name="connsiteY20" fmla="*/ 20645 h 1399263"/>
            <a:gd name="connsiteX21" fmla="*/ 1057776 w 1679396"/>
            <a:gd name="connsiteY21" fmla="*/ 30671 h 1399263"/>
            <a:gd name="connsiteX22" fmla="*/ 1032711 w 1679396"/>
            <a:gd name="connsiteY22" fmla="*/ 35684 h 1399263"/>
            <a:gd name="connsiteX23" fmla="*/ 1002632 w 1679396"/>
            <a:gd name="connsiteY23" fmla="*/ 45711 h 1399263"/>
            <a:gd name="connsiteX24" fmla="*/ 982579 w 1679396"/>
            <a:gd name="connsiteY24" fmla="*/ 70777 h 1399263"/>
            <a:gd name="connsiteX25" fmla="*/ 992605 w 1679396"/>
            <a:gd name="connsiteY25" fmla="*/ 130934 h 1399263"/>
            <a:gd name="connsiteX26" fmla="*/ 1002632 w 1679396"/>
            <a:gd name="connsiteY26" fmla="*/ 140961 h 1399263"/>
            <a:gd name="connsiteX27" fmla="*/ 1007645 w 1679396"/>
            <a:gd name="connsiteY27" fmla="*/ 156000 h 1399263"/>
            <a:gd name="connsiteX28" fmla="*/ 1022684 w 1679396"/>
            <a:gd name="connsiteY28" fmla="*/ 181066 h 1399263"/>
            <a:gd name="connsiteX29" fmla="*/ 1017671 w 1679396"/>
            <a:gd name="connsiteY29" fmla="*/ 196106 h 1399263"/>
            <a:gd name="connsiteX30" fmla="*/ 1002632 w 1679396"/>
            <a:gd name="connsiteY30" fmla="*/ 201119 h 1399263"/>
            <a:gd name="connsiteX31" fmla="*/ 987592 w 1679396"/>
            <a:gd name="connsiteY31" fmla="*/ 211145 h 1399263"/>
            <a:gd name="connsiteX32" fmla="*/ 962526 w 1679396"/>
            <a:gd name="connsiteY32" fmla="*/ 236211 h 1399263"/>
            <a:gd name="connsiteX33" fmla="*/ 932448 w 1679396"/>
            <a:gd name="connsiteY33" fmla="*/ 256263 h 1399263"/>
            <a:gd name="connsiteX34" fmla="*/ 927434 w 1679396"/>
            <a:gd name="connsiteY34" fmla="*/ 271303 h 1399263"/>
            <a:gd name="connsiteX35" fmla="*/ 887329 w 1679396"/>
            <a:gd name="connsiteY35" fmla="*/ 256263 h 1399263"/>
            <a:gd name="connsiteX36" fmla="*/ 857250 w 1679396"/>
            <a:gd name="connsiteY36" fmla="*/ 246237 h 1399263"/>
            <a:gd name="connsiteX37" fmla="*/ 842211 w 1679396"/>
            <a:gd name="connsiteY37" fmla="*/ 241224 h 1399263"/>
            <a:gd name="connsiteX38" fmla="*/ 827171 w 1679396"/>
            <a:gd name="connsiteY38" fmla="*/ 236211 h 1399263"/>
            <a:gd name="connsiteX39" fmla="*/ 792079 w 1679396"/>
            <a:gd name="connsiteY39" fmla="*/ 221171 h 1399263"/>
            <a:gd name="connsiteX40" fmla="*/ 741948 w 1679396"/>
            <a:gd name="connsiteY40" fmla="*/ 206132 h 1399263"/>
            <a:gd name="connsiteX41" fmla="*/ 731921 w 1679396"/>
            <a:gd name="connsiteY41" fmla="*/ 196106 h 1399263"/>
            <a:gd name="connsiteX42" fmla="*/ 701842 w 1679396"/>
            <a:gd name="connsiteY42" fmla="*/ 186079 h 1399263"/>
            <a:gd name="connsiteX43" fmla="*/ 636671 w 1679396"/>
            <a:gd name="connsiteY43" fmla="*/ 176053 h 1399263"/>
            <a:gd name="connsiteX44" fmla="*/ 611605 w 1679396"/>
            <a:gd name="connsiteY44" fmla="*/ 161013 h 1399263"/>
            <a:gd name="connsiteX45" fmla="*/ 596566 w 1679396"/>
            <a:gd name="connsiteY45" fmla="*/ 156000 h 1399263"/>
            <a:gd name="connsiteX46" fmla="*/ 581526 w 1679396"/>
            <a:gd name="connsiteY46" fmla="*/ 145974 h 1399263"/>
            <a:gd name="connsiteX47" fmla="*/ 576513 w 1679396"/>
            <a:gd name="connsiteY47" fmla="*/ 130934 h 1399263"/>
            <a:gd name="connsiteX48" fmla="*/ 531395 w 1679396"/>
            <a:gd name="connsiteY48" fmla="*/ 75790 h 1399263"/>
            <a:gd name="connsiteX49" fmla="*/ 501316 w 1679396"/>
            <a:gd name="connsiteY49" fmla="*/ 65763 h 1399263"/>
            <a:gd name="connsiteX50" fmla="*/ 446171 w 1679396"/>
            <a:gd name="connsiteY50" fmla="*/ 50724 h 1399263"/>
            <a:gd name="connsiteX51" fmla="*/ 386013 w 1679396"/>
            <a:gd name="connsiteY51" fmla="*/ 30671 h 1399263"/>
            <a:gd name="connsiteX52" fmla="*/ 355934 w 1679396"/>
            <a:gd name="connsiteY52" fmla="*/ 20645 h 1399263"/>
            <a:gd name="connsiteX53" fmla="*/ 320842 w 1679396"/>
            <a:gd name="connsiteY53" fmla="*/ 15632 h 1399263"/>
            <a:gd name="connsiteX54" fmla="*/ 280737 w 1679396"/>
            <a:gd name="connsiteY54" fmla="*/ 10619 h 1399263"/>
            <a:gd name="connsiteX55" fmla="*/ 210553 w 1679396"/>
            <a:gd name="connsiteY55" fmla="*/ 592 h 1399263"/>
            <a:gd name="connsiteX56" fmla="*/ 155408 w 1679396"/>
            <a:gd name="connsiteY56" fmla="*/ 20645 h 1399263"/>
            <a:gd name="connsiteX57" fmla="*/ 160421 w 1679396"/>
            <a:gd name="connsiteY57" fmla="*/ 35684 h 1399263"/>
            <a:gd name="connsiteX58" fmla="*/ 140369 w 1679396"/>
            <a:gd name="connsiteY58" fmla="*/ 95842 h 1399263"/>
            <a:gd name="connsiteX59" fmla="*/ 125329 w 1679396"/>
            <a:gd name="connsiteY59" fmla="*/ 100856 h 1399263"/>
            <a:gd name="connsiteX60" fmla="*/ 100263 w 1679396"/>
            <a:gd name="connsiteY60" fmla="*/ 125921 h 1399263"/>
            <a:gd name="connsiteX61" fmla="*/ 75198 w 1679396"/>
            <a:gd name="connsiteY61" fmla="*/ 140961 h 1399263"/>
            <a:gd name="connsiteX62" fmla="*/ 50132 w 1679396"/>
            <a:gd name="connsiteY62" fmla="*/ 161013 h 1399263"/>
            <a:gd name="connsiteX63" fmla="*/ 35092 w 1679396"/>
            <a:gd name="connsiteY63" fmla="*/ 166027 h 1399263"/>
            <a:gd name="connsiteX64" fmla="*/ 45119 w 1679396"/>
            <a:gd name="connsiteY64" fmla="*/ 186079 h 1399263"/>
            <a:gd name="connsiteX65" fmla="*/ 40105 w 1679396"/>
            <a:gd name="connsiteY65" fmla="*/ 256263 h 1399263"/>
            <a:gd name="connsiteX66" fmla="*/ 10026 w 1679396"/>
            <a:gd name="connsiteY66" fmla="*/ 266290 h 1399263"/>
            <a:gd name="connsiteX67" fmla="*/ 0 w 1679396"/>
            <a:gd name="connsiteY67" fmla="*/ 281329 h 1399263"/>
            <a:gd name="connsiteX68" fmla="*/ 10026 w 1679396"/>
            <a:gd name="connsiteY68" fmla="*/ 296369 h 1399263"/>
            <a:gd name="connsiteX69" fmla="*/ 25066 w 1679396"/>
            <a:gd name="connsiteY69" fmla="*/ 341487 h 1399263"/>
            <a:gd name="connsiteX70" fmla="*/ 30079 w 1679396"/>
            <a:gd name="connsiteY70" fmla="*/ 356527 h 1399263"/>
            <a:gd name="connsiteX71" fmla="*/ 35092 w 1679396"/>
            <a:gd name="connsiteY71" fmla="*/ 371566 h 1399263"/>
            <a:gd name="connsiteX72" fmla="*/ 40105 w 1679396"/>
            <a:gd name="connsiteY72" fmla="*/ 406658 h 1399263"/>
            <a:gd name="connsiteX73" fmla="*/ 45119 w 1679396"/>
            <a:gd name="connsiteY73" fmla="*/ 421698 h 1399263"/>
            <a:gd name="connsiteX74" fmla="*/ 35092 w 1679396"/>
            <a:gd name="connsiteY74" fmla="*/ 557053 h 1399263"/>
            <a:gd name="connsiteX75" fmla="*/ 30079 w 1679396"/>
            <a:gd name="connsiteY75" fmla="*/ 617211 h 1399263"/>
            <a:gd name="connsiteX76" fmla="*/ 40105 w 1679396"/>
            <a:gd name="connsiteY76" fmla="*/ 647290 h 1399263"/>
            <a:gd name="connsiteX77" fmla="*/ 45119 w 1679396"/>
            <a:gd name="connsiteY77" fmla="*/ 662329 h 1399263"/>
            <a:gd name="connsiteX78" fmla="*/ 35092 w 1679396"/>
            <a:gd name="connsiteY78" fmla="*/ 707448 h 1399263"/>
            <a:gd name="connsiteX79" fmla="*/ 10026 w 1679396"/>
            <a:gd name="connsiteY79" fmla="*/ 752566 h 1399263"/>
            <a:gd name="connsiteX80" fmla="*/ 30079 w 1679396"/>
            <a:gd name="connsiteY80" fmla="*/ 772619 h 1399263"/>
            <a:gd name="connsiteX81" fmla="*/ 35092 w 1679396"/>
            <a:gd name="connsiteY81" fmla="*/ 787658 h 1399263"/>
            <a:gd name="connsiteX82" fmla="*/ 55145 w 1679396"/>
            <a:gd name="connsiteY82" fmla="*/ 807711 h 1399263"/>
            <a:gd name="connsiteX83" fmla="*/ 60158 w 1679396"/>
            <a:gd name="connsiteY83" fmla="*/ 822750 h 1399263"/>
            <a:gd name="connsiteX84" fmla="*/ 70184 w 1679396"/>
            <a:gd name="connsiteY84" fmla="*/ 832777 h 1399263"/>
            <a:gd name="connsiteX85" fmla="*/ 80211 w 1679396"/>
            <a:gd name="connsiteY85" fmla="*/ 862856 h 1399263"/>
            <a:gd name="connsiteX86" fmla="*/ 90237 w 1679396"/>
            <a:gd name="connsiteY86" fmla="*/ 877895 h 1399263"/>
            <a:gd name="connsiteX87" fmla="*/ 100263 w 1679396"/>
            <a:gd name="connsiteY87" fmla="*/ 907974 h 1399263"/>
            <a:gd name="connsiteX88" fmla="*/ 105276 w 1679396"/>
            <a:gd name="connsiteY88" fmla="*/ 923013 h 1399263"/>
            <a:gd name="connsiteX89" fmla="*/ 135355 w 1679396"/>
            <a:gd name="connsiteY89" fmla="*/ 933040 h 1399263"/>
            <a:gd name="connsiteX90" fmla="*/ 150395 w 1679396"/>
            <a:gd name="connsiteY90" fmla="*/ 938053 h 1399263"/>
            <a:gd name="connsiteX91" fmla="*/ 190500 w 1679396"/>
            <a:gd name="connsiteY91" fmla="*/ 943066 h 1399263"/>
            <a:gd name="connsiteX92" fmla="*/ 220579 w 1679396"/>
            <a:gd name="connsiteY92" fmla="*/ 953092 h 1399263"/>
            <a:gd name="connsiteX93" fmla="*/ 235619 w 1679396"/>
            <a:gd name="connsiteY93" fmla="*/ 958106 h 1399263"/>
            <a:gd name="connsiteX94" fmla="*/ 250658 w 1679396"/>
            <a:gd name="connsiteY94" fmla="*/ 968132 h 1399263"/>
            <a:gd name="connsiteX95" fmla="*/ 270711 w 1679396"/>
            <a:gd name="connsiteY95" fmla="*/ 993198 h 1399263"/>
            <a:gd name="connsiteX96" fmla="*/ 285750 w 1679396"/>
            <a:gd name="connsiteY96" fmla="*/ 1003224 h 1399263"/>
            <a:gd name="connsiteX97" fmla="*/ 295776 w 1679396"/>
            <a:gd name="connsiteY97" fmla="*/ 1018263 h 1399263"/>
            <a:gd name="connsiteX98" fmla="*/ 325855 w 1679396"/>
            <a:gd name="connsiteY98" fmla="*/ 1028290 h 1399263"/>
            <a:gd name="connsiteX99" fmla="*/ 401053 w 1679396"/>
            <a:gd name="connsiteY99" fmla="*/ 1038316 h 1399263"/>
            <a:gd name="connsiteX100" fmla="*/ 431132 w 1679396"/>
            <a:gd name="connsiteY100" fmla="*/ 1048342 h 1399263"/>
            <a:gd name="connsiteX101" fmla="*/ 446171 w 1679396"/>
            <a:gd name="connsiteY101" fmla="*/ 1053356 h 1399263"/>
            <a:gd name="connsiteX102" fmla="*/ 476250 w 1679396"/>
            <a:gd name="connsiteY102" fmla="*/ 1068395 h 1399263"/>
            <a:gd name="connsiteX103" fmla="*/ 486276 w 1679396"/>
            <a:gd name="connsiteY103" fmla="*/ 1083434 h 1399263"/>
            <a:gd name="connsiteX104" fmla="*/ 516355 w 1679396"/>
            <a:gd name="connsiteY104" fmla="*/ 1093461 h 1399263"/>
            <a:gd name="connsiteX105" fmla="*/ 541421 w 1679396"/>
            <a:gd name="connsiteY105" fmla="*/ 1113513 h 1399263"/>
            <a:gd name="connsiteX106" fmla="*/ 576513 w 1679396"/>
            <a:gd name="connsiteY106" fmla="*/ 1108500 h 1399263"/>
            <a:gd name="connsiteX107" fmla="*/ 606592 w 1679396"/>
            <a:gd name="connsiteY107" fmla="*/ 1093461 h 1399263"/>
            <a:gd name="connsiteX108" fmla="*/ 656724 w 1679396"/>
            <a:gd name="connsiteY108" fmla="*/ 1078421 h 1399263"/>
            <a:gd name="connsiteX109" fmla="*/ 671763 w 1679396"/>
            <a:gd name="connsiteY109" fmla="*/ 1073408 h 1399263"/>
            <a:gd name="connsiteX110" fmla="*/ 681790 w 1679396"/>
            <a:gd name="connsiteY110" fmla="*/ 1063382 h 1399263"/>
            <a:gd name="connsiteX111" fmla="*/ 691816 w 1679396"/>
            <a:gd name="connsiteY111" fmla="*/ 1048342 h 1399263"/>
            <a:gd name="connsiteX112" fmla="*/ 706855 w 1679396"/>
            <a:gd name="connsiteY112" fmla="*/ 1043329 h 1399263"/>
            <a:gd name="connsiteX113" fmla="*/ 721895 w 1679396"/>
            <a:gd name="connsiteY113" fmla="*/ 1053356 h 1399263"/>
            <a:gd name="connsiteX114" fmla="*/ 736934 w 1679396"/>
            <a:gd name="connsiteY114" fmla="*/ 1058369 h 1399263"/>
            <a:gd name="connsiteX115" fmla="*/ 746961 w 1679396"/>
            <a:gd name="connsiteY115" fmla="*/ 1068395 h 1399263"/>
            <a:gd name="connsiteX116" fmla="*/ 762000 w 1679396"/>
            <a:gd name="connsiteY116" fmla="*/ 1078421 h 1399263"/>
            <a:gd name="connsiteX117" fmla="*/ 772026 w 1679396"/>
            <a:gd name="connsiteY117" fmla="*/ 1088448 h 1399263"/>
            <a:gd name="connsiteX118" fmla="*/ 802105 w 1679396"/>
            <a:gd name="connsiteY118" fmla="*/ 1093461 h 1399263"/>
            <a:gd name="connsiteX119" fmla="*/ 882316 w 1679396"/>
            <a:gd name="connsiteY119" fmla="*/ 1108500 h 1399263"/>
            <a:gd name="connsiteX120" fmla="*/ 937461 w 1679396"/>
            <a:gd name="connsiteY120" fmla="*/ 1123540 h 1399263"/>
            <a:gd name="connsiteX121" fmla="*/ 957513 w 1679396"/>
            <a:gd name="connsiteY121" fmla="*/ 1128553 h 1399263"/>
            <a:gd name="connsiteX122" fmla="*/ 997619 w 1679396"/>
            <a:gd name="connsiteY122" fmla="*/ 1148606 h 1399263"/>
            <a:gd name="connsiteX123" fmla="*/ 997619 w 1679396"/>
            <a:gd name="connsiteY123" fmla="*/ 1148606 h 1399263"/>
            <a:gd name="connsiteX124" fmla="*/ 1027698 w 1679396"/>
            <a:gd name="connsiteY124" fmla="*/ 1168658 h 1399263"/>
            <a:gd name="connsiteX125" fmla="*/ 1042737 w 1679396"/>
            <a:gd name="connsiteY125" fmla="*/ 1178684 h 1399263"/>
            <a:gd name="connsiteX126" fmla="*/ 1057776 w 1679396"/>
            <a:gd name="connsiteY126" fmla="*/ 1183698 h 1399263"/>
            <a:gd name="connsiteX127" fmla="*/ 1082842 w 1679396"/>
            <a:gd name="connsiteY127" fmla="*/ 1203750 h 1399263"/>
            <a:gd name="connsiteX128" fmla="*/ 1097882 w 1679396"/>
            <a:gd name="connsiteY128" fmla="*/ 1208763 h 1399263"/>
            <a:gd name="connsiteX129" fmla="*/ 1107908 w 1679396"/>
            <a:gd name="connsiteY129" fmla="*/ 1218790 h 1399263"/>
            <a:gd name="connsiteX130" fmla="*/ 1122948 w 1679396"/>
            <a:gd name="connsiteY130" fmla="*/ 1223803 h 1399263"/>
            <a:gd name="connsiteX131" fmla="*/ 1143000 w 1679396"/>
            <a:gd name="connsiteY131" fmla="*/ 1233829 h 1399263"/>
            <a:gd name="connsiteX132" fmla="*/ 1153026 w 1679396"/>
            <a:gd name="connsiteY132" fmla="*/ 1243856 h 1399263"/>
            <a:gd name="connsiteX133" fmla="*/ 1183105 w 1679396"/>
            <a:gd name="connsiteY133" fmla="*/ 1253882 h 1399263"/>
            <a:gd name="connsiteX134" fmla="*/ 1233237 w 1679396"/>
            <a:gd name="connsiteY134" fmla="*/ 1263908 h 1399263"/>
            <a:gd name="connsiteX135" fmla="*/ 1248276 w 1679396"/>
            <a:gd name="connsiteY135" fmla="*/ 1268921 h 1399263"/>
            <a:gd name="connsiteX136" fmla="*/ 1258303 w 1679396"/>
            <a:gd name="connsiteY136" fmla="*/ 1278948 h 1399263"/>
            <a:gd name="connsiteX137" fmla="*/ 1278355 w 1679396"/>
            <a:gd name="connsiteY137" fmla="*/ 1283961 h 1399263"/>
            <a:gd name="connsiteX138" fmla="*/ 1293395 w 1679396"/>
            <a:gd name="connsiteY138" fmla="*/ 1288974 h 1399263"/>
            <a:gd name="connsiteX139" fmla="*/ 1328487 w 1679396"/>
            <a:gd name="connsiteY139" fmla="*/ 1309027 h 1399263"/>
            <a:gd name="connsiteX140" fmla="*/ 1343526 w 1679396"/>
            <a:gd name="connsiteY140" fmla="*/ 1314040 h 1399263"/>
            <a:gd name="connsiteX141" fmla="*/ 1383632 w 1679396"/>
            <a:gd name="connsiteY141" fmla="*/ 1329079 h 1399263"/>
            <a:gd name="connsiteX142" fmla="*/ 1413711 w 1679396"/>
            <a:gd name="connsiteY142" fmla="*/ 1339106 h 1399263"/>
            <a:gd name="connsiteX143" fmla="*/ 1428750 w 1679396"/>
            <a:gd name="connsiteY143" fmla="*/ 1344119 h 1399263"/>
            <a:gd name="connsiteX144" fmla="*/ 1443790 w 1679396"/>
            <a:gd name="connsiteY144" fmla="*/ 1354145 h 1399263"/>
            <a:gd name="connsiteX145" fmla="*/ 1463842 w 1679396"/>
            <a:gd name="connsiteY145" fmla="*/ 1359158 h 1399263"/>
            <a:gd name="connsiteX146" fmla="*/ 1493921 w 1679396"/>
            <a:gd name="connsiteY146" fmla="*/ 1369184 h 1399263"/>
            <a:gd name="connsiteX147" fmla="*/ 1534026 w 1679396"/>
            <a:gd name="connsiteY147" fmla="*/ 1389237 h 1399263"/>
            <a:gd name="connsiteX148" fmla="*/ 1549066 w 1679396"/>
            <a:gd name="connsiteY148" fmla="*/ 1394250 h 1399263"/>
            <a:gd name="connsiteX149" fmla="*/ 1564105 w 1679396"/>
            <a:gd name="connsiteY149" fmla="*/ 1399263 h 1399263"/>
            <a:gd name="connsiteX150" fmla="*/ 1579145 w 1679396"/>
            <a:gd name="connsiteY150" fmla="*/ 1394250 h 1399263"/>
            <a:gd name="connsiteX151" fmla="*/ 1594184 w 1679396"/>
            <a:gd name="connsiteY151" fmla="*/ 1384224 h 1399263"/>
            <a:gd name="connsiteX152" fmla="*/ 1609224 w 1679396"/>
            <a:gd name="connsiteY152" fmla="*/ 1389237 h 1399263"/>
            <a:gd name="connsiteX153" fmla="*/ 1669382 w 1679396"/>
            <a:gd name="connsiteY153" fmla="*/ 1394250 h 1399263"/>
            <a:gd name="connsiteX154" fmla="*/ 1669382 w 1679396"/>
            <a:gd name="connsiteY154" fmla="*/ 1253882 h 1399263"/>
            <a:gd name="connsiteX155" fmla="*/ 1659355 w 1679396"/>
            <a:gd name="connsiteY155" fmla="*/ 1208763 h 1399263"/>
            <a:gd name="connsiteX156" fmla="*/ 1649329 w 1679396"/>
            <a:gd name="connsiteY156" fmla="*/ 1193724 h 1399263"/>
            <a:gd name="connsiteX157" fmla="*/ 1644316 w 1679396"/>
            <a:gd name="connsiteY157" fmla="*/ 1138579 h 1399263"/>
            <a:gd name="connsiteX158" fmla="*/ 1639303 w 1679396"/>
            <a:gd name="connsiteY158" fmla="*/ 1058369 h 1399263"/>
            <a:gd name="connsiteX159" fmla="*/ 1629276 w 1679396"/>
            <a:gd name="connsiteY159" fmla="*/ 1028290 h 1399263"/>
            <a:gd name="connsiteX160" fmla="*/ 1619250 w 1679396"/>
            <a:gd name="connsiteY160" fmla="*/ 1018263 h 1399263"/>
            <a:gd name="connsiteX161" fmla="*/ 1604211 w 1679396"/>
            <a:gd name="connsiteY161" fmla="*/ 968132 h 1399263"/>
            <a:gd name="connsiteX162" fmla="*/ 1599198 w 1679396"/>
            <a:gd name="connsiteY162" fmla="*/ 822750 h 1399263"/>
            <a:gd name="connsiteX163" fmla="*/ 1599198 w 1679396"/>
            <a:gd name="connsiteY163" fmla="*/ 677369 h 1399263"/>
            <a:gd name="connsiteX164" fmla="*/ 1589171 w 1679396"/>
            <a:gd name="connsiteY164" fmla="*/ 632250 h 1399263"/>
            <a:gd name="connsiteX165" fmla="*/ 1579145 w 1679396"/>
            <a:gd name="connsiteY165" fmla="*/ 617211 h 1399263"/>
            <a:gd name="connsiteX166" fmla="*/ 1569119 w 1679396"/>
            <a:gd name="connsiteY166" fmla="*/ 537000 h 1399263"/>
            <a:gd name="connsiteX167" fmla="*/ 1564105 w 1679396"/>
            <a:gd name="connsiteY167" fmla="*/ 521961 h 1399263"/>
            <a:gd name="connsiteX168" fmla="*/ 1544053 w 1679396"/>
            <a:gd name="connsiteY168" fmla="*/ 471829 h 1399263"/>
            <a:gd name="connsiteX169" fmla="*/ 1534026 w 1679396"/>
            <a:gd name="connsiteY169" fmla="*/ 441750 h 1399263"/>
            <a:gd name="connsiteX170" fmla="*/ 1529013 w 1679396"/>
            <a:gd name="connsiteY170" fmla="*/ 426711 h 1399263"/>
            <a:gd name="connsiteX171" fmla="*/ 1524000 w 1679396"/>
            <a:gd name="connsiteY171" fmla="*/ 401645 h 1399263"/>
            <a:gd name="connsiteX172" fmla="*/ 1513974 w 1679396"/>
            <a:gd name="connsiteY172" fmla="*/ 341487 h 1399263"/>
            <a:gd name="connsiteX173" fmla="*/ 1503948 w 1679396"/>
            <a:gd name="connsiteY173" fmla="*/ 326448 h 1399263"/>
            <a:gd name="connsiteX174" fmla="*/ 1498934 w 1679396"/>
            <a:gd name="connsiteY174" fmla="*/ 311408 h 1399263"/>
            <a:gd name="connsiteX175" fmla="*/ 1493921 w 1679396"/>
            <a:gd name="connsiteY175" fmla="*/ 211145 h 1399263"/>
            <a:gd name="connsiteX176" fmla="*/ 1478882 w 1679396"/>
            <a:gd name="connsiteY176" fmla="*/ 201119 h 1399263"/>
            <a:gd name="connsiteX177" fmla="*/ 1483895 w 1679396"/>
            <a:gd name="connsiteY177" fmla="*/ 181066 h 1399263"/>
            <a:gd name="connsiteX178" fmla="*/ 1508961 w 1679396"/>
            <a:gd name="connsiteY178" fmla="*/ 166027 h 1399263"/>
            <a:gd name="connsiteX0" fmla="*/ 1508961 w 1679396"/>
            <a:gd name="connsiteY0" fmla="*/ 166027 h 1399263"/>
            <a:gd name="connsiteX1" fmla="*/ 1503948 w 1679396"/>
            <a:gd name="connsiteY1" fmla="*/ 135948 h 1399263"/>
            <a:gd name="connsiteX2" fmla="*/ 1463842 w 1679396"/>
            <a:gd name="connsiteY2" fmla="*/ 115895 h 1399263"/>
            <a:gd name="connsiteX3" fmla="*/ 1433763 w 1679396"/>
            <a:gd name="connsiteY3" fmla="*/ 105869 h 1399263"/>
            <a:gd name="connsiteX4" fmla="*/ 1418724 w 1679396"/>
            <a:gd name="connsiteY4" fmla="*/ 100856 h 1399263"/>
            <a:gd name="connsiteX5" fmla="*/ 1398671 w 1679396"/>
            <a:gd name="connsiteY5" fmla="*/ 95842 h 1399263"/>
            <a:gd name="connsiteX6" fmla="*/ 1368592 w 1679396"/>
            <a:gd name="connsiteY6" fmla="*/ 85816 h 1399263"/>
            <a:gd name="connsiteX7" fmla="*/ 1353553 w 1679396"/>
            <a:gd name="connsiteY7" fmla="*/ 80803 h 1399263"/>
            <a:gd name="connsiteX8" fmla="*/ 1343526 w 1679396"/>
            <a:gd name="connsiteY8" fmla="*/ 70777 h 1399263"/>
            <a:gd name="connsiteX9" fmla="*/ 1313448 w 1679396"/>
            <a:gd name="connsiteY9" fmla="*/ 60750 h 1399263"/>
            <a:gd name="connsiteX10" fmla="*/ 1288382 w 1679396"/>
            <a:gd name="connsiteY10" fmla="*/ 40698 h 1399263"/>
            <a:gd name="connsiteX11" fmla="*/ 1278355 w 1679396"/>
            <a:gd name="connsiteY11" fmla="*/ 30671 h 1399263"/>
            <a:gd name="connsiteX12" fmla="*/ 1258303 w 1679396"/>
            <a:gd name="connsiteY12" fmla="*/ 25658 h 1399263"/>
            <a:gd name="connsiteX13" fmla="*/ 1243263 w 1679396"/>
            <a:gd name="connsiteY13" fmla="*/ 20645 h 1399263"/>
            <a:gd name="connsiteX14" fmla="*/ 1228224 w 1679396"/>
            <a:gd name="connsiteY14" fmla="*/ 10619 h 1399263"/>
            <a:gd name="connsiteX15" fmla="*/ 1183105 w 1679396"/>
            <a:gd name="connsiteY15" fmla="*/ 5606 h 1399263"/>
            <a:gd name="connsiteX16" fmla="*/ 1168066 w 1679396"/>
            <a:gd name="connsiteY16" fmla="*/ 592 h 1399263"/>
            <a:gd name="connsiteX17" fmla="*/ 1132974 w 1679396"/>
            <a:gd name="connsiteY17" fmla="*/ 5606 h 1399263"/>
            <a:gd name="connsiteX18" fmla="*/ 1112921 w 1679396"/>
            <a:gd name="connsiteY18" fmla="*/ 10619 h 1399263"/>
            <a:gd name="connsiteX19" fmla="*/ 1082842 w 1679396"/>
            <a:gd name="connsiteY19" fmla="*/ 15632 h 1399263"/>
            <a:gd name="connsiteX20" fmla="*/ 1067803 w 1679396"/>
            <a:gd name="connsiteY20" fmla="*/ 20645 h 1399263"/>
            <a:gd name="connsiteX21" fmla="*/ 1057776 w 1679396"/>
            <a:gd name="connsiteY21" fmla="*/ 30671 h 1399263"/>
            <a:gd name="connsiteX22" fmla="*/ 1032711 w 1679396"/>
            <a:gd name="connsiteY22" fmla="*/ 35684 h 1399263"/>
            <a:gd name="connsiteX23" fmla="*/ 1002632 w 1679396"/>
            <a:gd name="connsiteY23" fmla="*/ 45711 h 1399263"/>
            <a:gd name="connsiteX24" fmla="*/ 982579 w 1679396"/>
            <a:gd name="connsiteY24" fmla="*/ 70777 h 1399263"/>
            <a:gd name="connsiteX25" fmla="*/ 992605 w 1679396"/>
            <a:gd name="connsiteY25" fmla="*/ 130934 h 1399263"/>
            <a:gd name="connsiteX26" fmla="*/ 1002632 w 1679396"/>
            <a:gd name="connsiteY26" fmla="*/ 140961 h 1399263"/>
            <a:gd name="connsiteX27" fmla="*/ 1007645 w 1679396"/>
            <a:gd name="connsiteY27" fmla="*/ 156000 h 1399263"/>
            <a:gd name="connsiteX28" fmla="*/ 1022684 w 1679396"/>
            <a:gd name="connsiteY28" fmla="*/ 181066 h 1399263"/>
            <a:gd name="connsiteX29" fmla="*/ 1017671 w 1679396"/>
            <a:gd name="connsiteY29" fmla="*/ 196106 h 1399263"/>
            <a:gd name="connsiteX30" fmla="*/ 1002632 w 1679396"/>
            <a:gd name="connsiteY30" fmla="*/ 201119 h 1399263"/>
            <a:gd name="connsiteX31" fmla="*/ 987592 w 1679396"/>
            <a:gd name="connsiteY31" fmla="*/ 211145 h 1399263"/>
            <a:gd name="connsiteX32" fmla="*/ 962526 w 1679396"/>
            <a:gd name="connsiteY32" fmla="*/ 236211 h 1399263"/>
            <a:gd name="connsiteX33" fmla="*/ 932448 w 1679396"/>
            <a:gd name="connsiteY33" fmla="*/ 256263 h 1399263"/>
            <a:gd name="connsiteX34" fmla="*/ 927434 w 1679396"/>
            <a:gd name="connsiteY34" fmla="*/ 271303 h 1399263"/>
            <a:gd name="connsiteX35" fmla="*/ 887329 w 1679396"/>
            <a:gd name="connsiteY35" fmla="*/ 256263 h 1399263"/>
            <a:gd name="connsiteX36" fmla="*/ 857250 w 1679396"/>
            <a:gd name="connsiteY36" fmla="*/ 246237 h 1399263"/>
            <a:gd name="connsiteX37" fmla="*/ 842211 w 1679396"/>
            <a:gd name="connsiteY37" fmla="*/ 241224 h 1399263"/>
            <a:gd name="connsiteX38" fmla="*/ 827171 w 1679396"/>
            <a:gd name="connsiteY38" fmla="*/ 236211 h 1399263"/>
            <a:gd name="connsiteX39" fmla="*/ 792079 w 1679396"/>
            <a:gd name="connsiteY39" fmla="*/ 221171 h 1399263"/>
            <a:gd name="connsiteX40" fmla="*/ 741948 w 1679396"/>
            <a:gd name="connsiteY40" fmla="*/ 206132 h 1399263"/>
            <a:gd name="connsiteX41" fmla="*/ 731921 w 1679396"/>
            <a:gd name="connsiteY41" fmla="*/ 196106 h 1399263"/>
            <a:gd name="connsiteX42" fmla="*/ 701842 w 1679396"/>
            <a:gd name="connsiteY42" fmla="*/ 186079 h 1399263"/>
            <a:gd name="connsiteX43" fmla="*/ 636671 w 1679396"/>
            <a:gd name="connsiteY43" fmla="*/ 176053 h 1399263"/>
            <a:gd name="connsiteX44" fmla="*/ 611605 w 1679396"/>
            <a:gd name="connsiteY44" fmla="*/ 161013 h 1399263"/>
            <a:gd name="connsiteX45" fmla="*/ 596566 w 1679396"/>
            <a:gd name="connsiteY45" fmla="*/ 156000 h 1399263"/>
            <a:gd name="connsiteX46" fmla="*/ 581526 w 1679396"/>
            <a:gd name="connsiteY46" fmla="*/ 145974 h 1399263"/>
            <a:gd name="connsiteX47" fmla="*/ 576513 w 1679396"/>
            <a:gd name="connsiteY47" fmla="*/ 130934 h 1399263"/>
            <a:gd name="connsiteX48" fmla="*/ 531395 w 1679396"/>
            <a:gd name="connsiteY48" fmla="*/ 75790 h 1399263"/>
            <a:gd name="connsiteX49" fmla="*/ 501316 w 1679396"/>
            <a:gd name="connsiteY49" fmla="*/ 65763 h 1399263"/>
            <a:gd name="connsiteX50" fmla="*/ 446171 w 1679396"/>
            <a:gd name="connsiteY50" fmla="*/ 50724 h 1399263"/>
            <a:gd name="connsiteX51" fmla="*/ 386013 w 1679396"/>
            <a:gd name="connsiteY51" fmla="*/ 30671 h 1399263"/>
            <a:gd name="connsiteX52" fmla="*/ 355934 w 1679396"/>
            <a:gd name="connsiteY52" fmla="*/ 20645 h 1399263"/>
            <a:gd name="connsiteX53" fmla="*/ 320842 w 1679396"/>
            <a:gd name="connsiteY53" fmla="*/ 15632 h 1399263"/>
            <a:gd name="connsiteX54" fmla="*/ 280737 w 1679396"/>
            <a:gd name="connsiteY54" fmla="*/ 10619 h 1399263"/>
            <a:gd name="connsiteX55" fmla="*/ 210553 w 1679396"/>
            <a:gd name="connsiteY55" fmla="*/ 592 h 1399263"/>
            <a:gd name="connsiteX56" fmla="*/ 155408 w 1679396"/>
            <a:gd name="connsiteY56" fmla="*/ 20645 h 1399263"/>
            <a:gd name="connsiteX57" fmla="*/ 160421 w 1679396"/>
            <a:gd name="connsiteY57" fmla="*/ 35684 h 1399263"/>
            <a:gd name="connsiteX58" fmla="*/ 140369 w 1679396"/>
            <a:gd name="connsiteY58" fmla="*/ 95842 h 1399263"/>
            <a:gd name="connsiteX59" fmla="*/ 125329 w 1679396"/>
            <a:gd name="connsiteY59" fmla="*/ 100856 h 1399263"/>
            <a:gd name="connsiteX60" fmla="*/ 100263 w 1679396"/>
            <a:gd name="connsiteY60" fmla="*/ 125921 h 1399263"/>
            <a:gd name="connsiteX61" fmla="*/ 75198 w 1679396"/>
            <a:gd name="connsiteY61" fmla="*/ 140961 h 1399263"/>
            <a:gd name="connsiteX62" fmla="*/ 50132 w 1679396"/>
            <a:gd name="connsiteY62" fmla="*/ 161013 h 1399263"/>
            <a:gd name="connsiteX63" fmla="*/ 35092 w 1679396"/>
            <a:gd name="connsiteY63" fmla="*/ 166027 h 1399263"/>
            <a:gd name="connsiteX64" fmla="*/ 35559 w 1679396"/>
            <a:gd name="connsiteY64" fmla="*/ 186079 h 1399263"/>
            <a:gd name="connsiteX65" fmla="*/ 40105 w 1679396"/>
            <a:gd name="connsiteY65" fmla="*/ 256263 h 1399263"/>
            <a:gd name="connsiteX66" fmla="*/ 10026 w 1679396"/>
            <a:gd name="connsiteY66" fmla="*/ 266290 h 1399263"/>
            <a:gd name="connsiteX67" fmla="*/ 0 w 1679396"/>
            <a:gd name="connsiteY67" fmla="*/ 281329 h 1399263"/>
            <a:gd name="connsiteX68" fmla="*/ 10026 w 1679396"/>
            <a:gd name="connsiteY68" fmla="*/ 296369 h 1399263"/>
            <a:gd name="connsiteX69" fmla="*/ 25066 w 1679396"/>
            <a:gd name="connsiteY69" fmla="*/ 341487 h 1399263"/>
            <a:gd name="connsiteX70" fmla="*/ 30079 w 1679396"/>
            <a:gd name="connsiteY70" fmla="*/ 356527 h 1399263"/>
            <a:gd name="connsiteX71" fmla="*/ 35092 w 1679396"/>
            <a:gd name="connsiteY71" fmla="*/ 371566 h 1399263"/>
            <a:gd name="connsiteX72" fmla="*/ 40105 w 1679396"/>
            <a:gd name="connsiteY72" fmla="*/ 406658 h 1399263"/>
            <a:gd name="connsiteX73" fmla="*/ 45119 w 1679396"/>
            <a:gd name="connsiteY73" fmla="*/ 421698 h 1399263"/>
            <a:gd name="connsiteX74" fmla="*/ 35092 w 1679396"/>
            <a:gd name="connsiteY74" fmla="*/ 557053 h 1399263"/>
            <a:gd name="connsiteX75" fmla="*/ 30079 w 1679396"/>
            <a:gd name="connsiteY75" fmla="*/ 617211 h 1399263"/>
            <a:gd name="connsiteX76" fmla="*/ 40105 w 1679396"/>
            <a:gd name="connsiteY76" fmla="*/ 647290 h 1399263"/>
            <a:gd name="connsiteX77" fmla="*/ 45119 w 1679396"/>
            <a:gd name="connsiteY77" fmla="*/ 662329 h 1399263"/>
            <a:gd name="connsiteX78" fmla="*/ 35092 w 1679396"/>
            <a:gd name="connsiteY78" fmla="*/ 707448 h 1399263"/>
            <a:gd name="connsiteX79" fmla="*/ 10026 w 1679396"/>
            <a:gd name="connsiteY79" fmla="*/ 752566 h 1399263"/>
            <a:gd name="connsiteX80" fmla="*/ 30079 w 1679396"/>
            <a:gd name="connsiteY80" fmla="*/ 772619 h 1399263"/>
            <a:gd name="connsiteX81" fmla="*/ 35092 w 1679396"/>
            <a:gd name="connsiteY81" fmla="*/ 787658 h 1399263"/>
            <a:gd name="connsiteX82" fmla="*/ 55145 w 1679396"/>
            <a:gd name="connsiteY82" fmla="*/ 807711 h 1399263"/>
            <a:gd name="connsiteX83" fmla="*/ 60158 w 1679396"/>
            <a:gd name="connsiteY83" fmla="*/ 822750 h 1399263"/>
            <a:gd name="connsiteX84" fmla="*/ 70184 w 1679396"/>
            <a:gd name="connsiteY84" fmla="*/ 832777 h 1399263"/>
            <a:gd name="connsiteX85" fmla="*/ 80211 w 1679396"/>
            <a:gd name="connsiteY85" fmla="*/ 862856 h 1399263"/>
            <a:gd name="connsiteX86" fmla="*/ 90237 w 1679396"/>
            <a:gd name="connsiteY86" fmla="*/ 877895 h 1399263"/>
            <a:gd name="connsiteX87" fmla="*/ 100263 w 1679396"/>
            <a:gd name="connsiteY87" fmla="*/ 907974 h 1399263"/>
            <a:gd name="connsiteX88" fmla="*/ 105276 w 1679396"/>
            <a:gd name="connsiteY88" fmla="*/ 923013 h 1399263"/>
            <a:gd name="connsiteX89" fmla="*/ 135355 w 1679396"/>
            <a:gd name="connsiteY89" fmla="*/ 933040 h 1399263"/>
            <a:gd name="connsiteX90" fmla="*/ 150395 w 1679396"/>
            <a:gd name="connsiteY90" fmla="*/ 938053 h 1399263"/>
            <a:gd name="connsiteX91" fmla="*/ 190500 w 1679396"/>
            <a:gd name="connsiteY91" fmla="*/ 943066 h 1399263"/>
            <a:gd name="connsiteX92" fmla="*/ 220579 w 1679396"/>
            <a:gd name="connsiteY92" fmla="*/ 953092 h 1399263"/>
            <a:gd name="connsiteX93" fmla="*/ 235619 w 1679396"/>
            <a:gd name="connsiteY93" fmla="*/ 958106 h 1399263"/>
            <a:gd name="connsiteX94" fmla="*/ 250658 w 1679396"/>
            <a:gd name="connsiteY94" fmla="*/ 968132 h 1399263"/>
            <a:gd name="connsiteX95" fmla="*/ 270711 w 1679396"/>
            <a:gd name="connsiteY95" fmla="*/ 993198 h 1399263"/>
            <a:gd name="connsiteX96" fmla="*/ 285750 w 1679396"/>
            <a:gd name="connsiteY96" fmla="*/ 1003224 h 1399263"/>
            <a:gd name="connsiteX97" fmla="*/ 295776 w 1679396"/>
            <a:gd name="connsiteY97" fmla="*/ 1018263 h 1399263"/>
            <a:gd name="connsiteX98" fmla="*/ 325855 w 1679396"/>
            <a:gd name="connsiteY98" fmla="*/ 1028290 h 1399263"/>
            <a:gd name="connsiteX99" fmla="*/ 401053 w 1679396"/>
            <a:gd name="connsiteY99" fmla="*/ 1038316 h 1399263"/>
            <a:gd name="connsiteX100" fmla="*/ 431132 w 1679396"/>
            <a:gd name="connsiteY100" fmla="*/ 1048342 h 1399263"/>
            <a:gd name="connsiteX101" fmla="*/ 446171 w 1679396"/>
            <a:gd name="connsiteY101" fmla="*/ 1053356 h 1399263"/>
            <a:gd name="connsiteX102" fmla="*/ 476250 w 1679396"/>
            <a:gd name="connsiteY102" fmla="*/ 1068395 h 1399263"/>
            <a:gd name="connsiteX103" fmla="*/ 486276 w 1679396"/>
            <a:gd name="connsiteY103" fmla="*/ 1083434 h 1399263"/>
            <a:gd name="connsiteX104" fmla="*/ 516355 w 1679396"/>
            <a:gd name="connsiteY104" fmla="*/ 1093461 h 1399263"/>
            <a:gd name="connsiteX105" fmla="*/ 541421 w 1679396"/>
            <a:gd name="connsiteY105" fmla="*/ 1113513 h 1399263"/>
            <a:gd name="connsiteX106" fmla="*/ 576513 w 1679396"/>
            <a:gd name="connsiteY106" fmla="*/ 1108500 h 1399263"/>
            <a:gd name="connsiteX107" fmla="*/ 606592 w 1679396"/>
            <a:gd name="connsiteY107" fmla="*/ 1093461 h 1399263"/>
            <a:gd name="connsiteX108" fmla="*/ 656724 w 1679396"/>
            <a:gd name="connsiteY108" fmla="*/ 1078421 h 1399263"/>
            <a:gd name="connsiteX109" fmla="*/ 671763 w 1679396"/>
            <a:gd name="connsiteY109" fmla="*/ 1073408 h 1399263"/>
            <a:gd name="connsiteX110" fmla="*/ 681790 w 1679396"/>
            <a:gd name="connsiteY110" fmla="*/ 1063382 h 1399263"/>
            <a:gd name="connsiteX111" fmla="*/ 691816 w 1679396"/>
            <a:gd name="connsiteY111" fmla="*/ 1048342 h 1399263"/>
            <a:gd name="connsiteX112" fmla="*/ 706855 w 1679396"/>
            <a:gd name="connsiteY112" fmla="*/ 1043329 h 1399263"/>
            <a:gd name="connsiteX113" fmla="*/ 721895 w 1679396"/>
            <a:gd name="connsiteY113" fmla="*/ 1053356 h 1399263"/>
            <a:gd name="connsiteX114" fmla="*/ 736934 w 1679396"/>
            <a:gd name="connsiteY114" fmla="*/ 1058369 h 1399263"/>
            <a:gd name="connsiteX115" fmla="*/ 746961 w 1679396"/>
            <a:gd name="connsiteY115" fmla="*/ 1068395 h 1399263"/>
            <a:gd name="connsiteX116" fmla="*/ 762000 w 1679396"/>
            <a:gd name="connsiteY116" fmla="*/ 1078421 h 1399263"/>
            <a:gd name="connsiteX117" fmla="*/ 772026 w 1679396"/>
            <a:gd name="connsiteY117" fmla="*/ 1088448 h 1399263"/>
            <a:gd name="connsiteX118" fmla="*/ 802105 w 1679396"/>
            <a:gd name="connsiteY118" fmla="*/ 1093461 h 1399263"/>
            <a:gd name="connsiteX119" fmla="*/ 882316 w 1679396"/>
            <a:gd name="connsiteY119" fmla="*/ 1108500 h 1399263"/>
            <a:gd name="connsiteX120" fmla="*/ 937461 w 1679396"/>
            <a:gd name="connsiteY120" fmla="*/ 1123540 h 1399263"/>
            <a:gd name="connsiteX121" fmla="*/ 957513 w 1679396"/>
            <a:gd name="connsiteY121" fmla="*/ 1128553 h 1399263"/>
            <a:gd name="connsiteX122" fmla="*/ 997619 w 1679396"/>
            <a:gd name="connsiteY122" fmla="*/ 1148606 h 1399263"/>
            <a:gd name="connsiteX123" fmla="*/ 997619 w 1679396"/>
            <a:gd name="connsiteY123" fmla="*/ 1148606 h 1399263"/>
            <a:gd name="connsiteX124" fmla="*/ 1027698 w 1679396"/>
            <a:gd name="connsiteY124" fmla="*/ 1168658 h 1399263"/>
            <a:gd name="connsiteX125" fmla="*/ 1042737 w 1679396"/>
            <a:gd name="connsiteY125" fmla="*/ 1178684 h 1399263"/>
            <a:gd name="connsiteX126" fmla="*/ 1057776 w 1679396"/>
            <a:gd name="connsiteY126" fmla="*/ 1183698 h 1399263"/>
            <a:gd name="connsiteX127" fmla="*/ 1082842 w 1679396"/>
            <a:gd name="connsiteY127" fmla="*/ 1203750 h 1399263"/>
            <a:gd name="connsiteX128" fmla="*/ 1097882 w 1679396"/>
            <a:gd name="connsiteY128" fmla="*/ 1208763 h 1399263"/>
            <a:gd name="connsiteX129" fmla="*/ 1107908 w 1679396"/>
            <a:gd name="connsiteY129" fmla="*/ 1218790 h 1399263"/>
            <a:gd name="connsiteX130" fmla="*/ 1122948 w 1679396"/>
            <a:gd name="connsiteY130" fmla="*/ 1223803 h 1399263"/>
            <a:gd name="connsiteX131" fmla="*/ 1143000 w 1679396"/>
            <a:gd name="connsiteY131" fmla="*/ 1233829 h 1399263"/>
            <a:gd name="connsiteX132" fmla="*/ 1153026 w 1679396"/>
            <a:gd name="connsiteY132" fmla="*/ 1243856 h 1399263"/>
            <a:gd name="connsiteX133" fmla="*/ 1183105 w 1679396"/>
            <a:gd name="connsiteY133" fmla="*/ 1253882 h 1399263"/>
            <a:gd name="connsiteX134" fmla="*/ 1233237 w 1679396"/>
            <a:gd name="connsiteY134" fmla="*/ 1263908 h 1399263"/>
            <a:gd name="connsiteX135" fmla="*/ 1248276 w 1679396"/>
            <a:gd name="connsiteY135" fmla="*/ 1268921 h 1399263"/>
            <a:gd name="connsiteX136" fmla="*/ 1258303 w 1679396"/>
            <a:gd name="connsiteY136" fmla="*/ 1278948 h 1399263"/>
            <a:gd name="connsiteX137" fmla="*/ 1278355 w 1679396"/>
            <a:gd name="connsiteY137" fmla="*/ 1283961 h 1399263"/>
            <a:gd name="connsiteX138" fmla="*/ 1293395 w 1679396"/>
            <a:gd name="connsiteY138" fmla="*/ 1288974 h 1399263"/>
            <a:gd name="connsiteX139" fmla="*/ 1328487 w 1679396"/>
            <a:gd name="connsiteY139" fmla="*/ 1309027 h 1399263"/>
            <a:gd name="connsiteX140" fmla="*/ 1343526 w 1679396"/>
            <a:gd name="connsiteY140" fmla="*/ 1314040 h 1399263"/>
            <a:gd name="connsiteX141" fmla="*/ 1383632 w 1679396"/>
            <a:gd name="connsiteY141" fmla="*/ 1329079 h 1399263"/>
            <a:gd name="connsiteX142" fmla="*/ 1413711 w 1679396"/>
            <a:gd name="connsiteY142" fmla="*/ 1339106 h 1399263"/>
            <a:gd name="connsiteX143" fmla="*/ 1428750 w 1679396"/>
            <a:gd name="connsiteY143" fmla="*/ 1344119 h 1399263"/>
            <a:gd name="connsiteX144" fmla="*/ 1443790 w 1679396"/>
            <a:gd name="connsiteY144" fmla="*/ 1354145 h 1399263"/>
            <a:gd name="connsiteX145" fmla="*/ 1463842 w 1679396"/>
            <a:gd name="connsiteY145" fmla="*/ 1359158 h 1399263"/>
            <a:gd name="connsiteX146" fmla="*/ 1493921 w 1679396"/>
            <a:gd name="connsiteY146" fmla="*/ 1369184 h 1399263"/>
            <a:gd name="connsiteX147" fmla="*/ 1534026 w 1679396"/>
            <a:gd name="connsiteY147" fmla="*/ 1389237 h 1399263"/>
            <a:gd name="connsiteX148" fmla="*/ 1549066 w 1679396"/>
            <a:gd name="connsiteY148" fmla="*/ 1394250 h 1399263"/>
            <a:gd name="connsiteX149" fmla="*/ 1564105 w 1679396"/>
            <a:gd name="connsiteY149" fmla="*/ 1399263 h 1399263"/>
            <a:gd name="connsiteX150" fmla="*/ 1579145 w 1679396"/>
            <a:gd name="connsiteY150" fmla="*/ 1394250 h 1399263"/>
            <a:gd name="connsiteX151" fmla="*/ 1594184 w 1679396"/>
            <a:gd name="connsiteY151" fmla="*/ 1384224 h 1399263"/>
            <a:gd name="connsiteX152" fmla="*/ 1609224 w 1679396"/>
            <a:gd name="connsiteY152" fmla="*/ 1389237 h 1399263"/>
            <a:gd name="connsiteX153" fmla="*/ 1669382 w 1679396"/>
            <a:gd name="connsiteY153" fmla="*/ 1394250 h 1399263"/>
            <a:gd name="connsiteX154" fmla="*/ 1669382 w 1679396"/>
            <a:gd name="connsiteY154" fmla="*/ 1253882 h 1399263"/>
            <a:gd name="connsiteX155" fmla="*/ 1659355 w 1679396"/>
            <a:gd name="connsiteY155" fmla="*/ 1208763 h 1399263"/>
            <a:gd name="connsiteX156" fmla="*/ 1649329 w 1679396"/>
            <a:gd name="connsiteY156" fmla="*/ 1193724 h 1399263"/>
            <a:gd name="connsiteX157" fmla="*/ 1644316 w 1679396"/>
            <a:gd name="connsiteY157" fmla="*/ 1138579 h 1399263"/>
            <a:gd name="connsiteX158" fmla="*/ 1639303 w 1679396"/>
            <a:gd name="connsiteY158" fmla="*/ 1058369 h 1399263"/>
            <a:gd name="connsiteX159" fmla="*/ 1629276 w 1679396"/>
            <a:gd name="connsiteY159" fmla="*/ 1028290 h 1399263"/>
            <a:gd name="connsiteX160" fmla="*/ 1619250 w 1679396"/>
            <a:gd name="connsiteY160" fmla="*/ 1018263 h 1399263"/>
            <a:gd name="connsiteX161" fmla="*/ 1604211 w 1679396"/>
            <a:gd name="connsiteY161" fmla="*/ 968132 h 1399263"/>
            <a:gd name="connsiteX162" fmla="*/ 1599198 w 1679396"/>
            <a:gd name="connsiteY162" fmla="*/ 822750 h 1399263"/>
            <a:gd name="connsiteX163" fmla="*/ 1599198 w 1679396"/>
            <a:gd name="connsiteY163" fmla="*/ 677369 h 1399263"/>
            <a:gd name="connsiteX164" fmla="*/ 1589171 w 1679396"/>
            <a:gd name="connsiteY164" fmla="*/ 632250 h 1399263"/>
            <a:gd name="connsiteX165" fmla="*/ 1579145 w 1679396"/>
            <a:gd name="connsiteY165" fmla="*/ 617211 h 1399263"/>
            <a:gd name="connsiteX166" fmla="*/ 1569119 w 1679396"/>
            <a:gd name="connsiteY166" fmla="*/ 537000 h 1399263"/>
            <a:gd name="connsiteX167" fmla="*/ 1564105 w 1679396"/>
            <a:gd name="connsiteY167" fmla="*/ 521961 h 1399263"/>
            <a:gd name="connsiteX168" fmla="*/ 1544053 w 1679396"/>
            <a:gd name="connsiteY168" fmla="*/ 471829 h 1399263"/>
            <a:gd name="connsiteX169" fmla="*/ 1534026 w 1679396"/>
            <a:gd name="connsiteY169" fmla="*/ 441750 h 1399263"/>
            <a:gd name="connsiteX170" fmla="*/ 1529013 w 1679396"/>
            <a:gd name="connsiteY170" fmla="*/ 426711 h 1399263"/>
            <a:gd name="connsiteX171" fmla="*/ 1524000 w 1679396"/>
            <a:gd name="connsiteY171" fmla="*/ 401645 h 1399263"/>
            <a:gd name="connsiteX172" fmla="*/ 1513974 w 1679396"/>
            <a:gd name="connsiteY172" fmla="*/ 341487 h 1399263"/>
            <a:gd name="connsiteX173" fmla="*/ 1503948 w 1679396"/>
            <a:gd name="connsiteY173" fmla="*/ 326448 h 1399263"/>
            <a:gd name="connsiteX174" fmla="*/ 1498934 w 1679396"/>
            <a:gd name="connsiteY174" fmla="*/ 311408 h 1399263"/>
            <a:gd name="connsiteX175" fmla="*/ 1493921 w 1679396"/>
            <a:gd name="connsiteY175" fmla="*/ 211145 h 1399263"/>
            <a:gd name="connsiteX176" fmla="*/ 1478882 w 1679396"/>
            <a:gd name="connsiteY176" fmla="*/ 201119 h 1399263"/>
            <a:gd name="connsiteX177" fmla="*/ 1483895 w 1679396"/>
            <a:gd name="connsiteY177" fmla="*/ 181066 h 1399263"/>
            <a:gd name="connsiteX178" fmla="*/ 1508961 w 1679396"/>
            <a:gd name="connsiteY178" fmla="*/ 166027 h 1399263"/>
            <a:gd name="connsiteX0" fmla="*/ 1508981 w 1679416"/>
            <a:gd name="connsiteY0" fmla="*/ 166027 h 1399263"/>
            <a:gd name="connsiteX1" fmla="*/ 1503968 w 1679416"/>
            <a:gd name="connsiteY1" fmla="*/ 135948 h 1399263"/>
            <a:gd name="connsiteX2" fmla="*/ 1463862 w 1679416"/>
            <a:gd name="connsiteY2" fmla="*/ 115895 h 1399263"/>
            <a:gd name="connsiteX3" fmla="*/ 1433783 w 1679416"/>
            <a:gd name="connsiteY3" fmla="*/ 105869 h 1399263"/>
            <a:gd name="connsiteX4" fmla="*/ 1418744 w 1679416"/>
            <a:gd name="connsiteY4" fmla="*/ 100856 h 1399263"/>
            <a:gd name="connsiteX5" fmla="*/ 1398691 w 1679416"/>
            <a:gd name="connsiteY5" fmla="*/ 95842 h 1399263"/>
            <a:gd name="connsiteX6" fmla="*/ 1368612 w 1679416"/>
            <a:gd name="connsiteY6" fmla="*/ 85816 h 1399263"/>
            <a:gd name="connsiteX7" fmla="*/ 1353573 w 1679416"/>
            <a:gd name="connsiteY7" fmla="*/ 80803 h 1399263"/>
            <a:gd name="connsiteX8" fmla="*/ 1343546 w 1679416"/>
            <a:gd name="connsiteY8" fmla="*/ 70777 h 1399263"/>
            <a:gd name="connsiteX9" fmla="*/ 1313468 w 1679416"/>
            <a:gd name="connsiteY9" fmla="*/ 60750 h 1399263"/>
            <a:gd name="connsiteX10" fmla="*/ 1288402 w 1679416"/>
            <a:gd name="connsiteY10" fmla="*/ 40698 h 1399263"/>
            <a:gd name="connsiteX11" fmla="*/ 1278375 w 1679416"/>
            <a:gd name="connsiteY11" fmla="*/ 30671 h 1399263"/>
            <a:gd name="connsiteX12" fmla="*/ 1258323 w 1679416"/>
            <a:gd name="connsiteY12" fmla="*/ 25658 h 1399263"/>
            <a:gd name="connsiteX13" fmla="*/ 1243283 w 1679416"/>
            <a:gd name="connsiteY13" fmla="*/ 20645 h 1399263"/>
            <a:gd name="connsiteX14" fmla="*/ 1228244 w 1679416"/>
            <a:gd name="connsiteY14" fmla="*/ 10619 h 1399263"/>
            <a:gd name="connsiteX15" fmla="*/ 1183125 w 1679416"/>
            <a:gd name="connsiteY15" fmla="*/ 5606 h 1399263"/>
            <a:gd name="connsiteX16" fmla="*/ 1168086 w 1679416"/>
            <a:gd name="connsiteY16" fmla="*/ 592 h 1399263"/>
            <a:gd name="connsiteX17" fmla="*/ 1132994 w 1679416"/>
            <a:gd name="connsiteY17" fmla="*/ 5606 h 1399263"/>
            <a:gd name="connsiteX18" fmla="*/ 1112941 w 1679416"/>
            <a:gd name="connsiteY18" fmla="*/ 10619 h 1399263"/>
            <a:gd name="connsiteX19" fmla="*/ 1082862 w 1679416"/>
            <a:gd name="connsiteY19" fmla="*/ 15632 h 1399263"/>
            <a:gd name="connsiteX20" fmla="*/ 1067823 w 1679416"/>
            <a:gd name="connsiteY20" fmla="*/ 20645 h 1399263"/>
            <a:gd name="connsiteX21" fmla="*/ 1057796 w 1679416"/>
            <a:gd name="connsiteY21" fmla="*/ 30671 h 1399263"/>
            <a:gd name="connsiteX22" fmla="*/ 1032731 w 1679416"/>
            <a:gd name="connsiteY22" fmla="*/ 35684 h 1399263"/>
            <a:gd name="connsiteX23" fmla="*/ 1002652 w 1679416"/>
            <a:gd name="connsiteY23" fmla="*/ 45711 h 1399263"/>
            <a:gd name="connsiteX24" fmla="*/ 982599 w 1679416"/>
            <a:gd name="connsiteY24" fmla="*/ 70777 h 1399263"/>
            <a:gd name="connsiteX25" fmla="*/ 992625 w 1679416"/>
            <a:gd name="connsiteY25" fmla="*/ 130934 h 1399263"/>
            <a:gd name="connsiteX26" fmla="*/ 1002652 w 1679416"/>
            <a:gd name="connsiteY26" fmla="*/ 140961 h 1399263"/>
            <a:gd name="connsiteX27" fmla="*/ 1007665 w 1679416"/>
            <a:gd name="connsiteY27" fmla="*/ 156000 h 1399263"/>
            <a:gd name="connsiteX28" fmla="*/ 1022704 w 1679416"/>
            <a:gd name="connsiteY28" fmla="*/ 181066 h 1399263"/>
            <a:gd name="connsiteX29" fmla="*/ 1017691 w 1679416"/>
            <a:gd name="connsiteY29" fmla="*/ 196106 h 1399263"/>
            <a:gd name="connsiteX30" fmla="*/ 1002652 w 1679416"/>
            <a:gd name="connsiteY30" fmla="*/ 201119 h 1399263"/>
            <a:gd name="connsiteX31" fmla="*/ 987612 w 1679416"/>
            <a:gd name="connsiteY31" fmla="*/ 211145 h 1399263"/>
            <a:gd name="connsiteX32" fmla="*/ 962546 w 1679416"/>
            <a:gd name="connsiteY32" fmla="*/ 236211 h 1399263"/>
            <a:gd name="connsiteX33" fmla="*/ 932468 w 1679416"/>
            <a:gd name="connsiteY33" fmla="*/ 256263 h 1399263"/>
            <a:gd name="connsiteX34" fmla="*/ 927454 w 1679416"/>
            <a:gd name="connsiteY34" fmla="*/ 271303 h 1399263"/>
            <a:gd name="connsiteX35" fmla="*/ 887349 w 1679416"/>
            <a:gd name="connsiteY35" fmla="*/ 256263 h 1399263"/>
            <a:gd name="connsiteX36" fmla="*/ 857270 w 1679416"/>
            <a:gd name="connsiteY36" fmla="*/ 246237 h 1399263"/>
            <a:gd name="connsiteX37" fmla="*/ 842231 w 1679416"/>
            <a:gd name="connsiteY37" fmla="*/ 241224 h 1399263"/>
            <a:gd name="connsiteX38" fmla="*/ 827191 w 1679416"/>
            <a:gd name="connsiteY38" fmla="*/ 236211 h 1399263"/>
            <a:gd name="connsiteX39" fmla="*/ 792099 w 1679416"/>
            <a:gd name="connsiteY39" fmla="*/ 221171 h 1399263"/>
            <a:gd name="connsiteX40" fmla="*/ 741968 w 1679416"/>
            <a:gd name="connsiteY40" fmla="*/ 206132 h 1399263"/>
            <a:gd name="connsiteX41" fmla="*/ 731941 w 1679416"/>
            <a:gd name="connsiteY41" fmla="*/ 196106 h 1399263"/>
            <a:gd name="connsiteX42" fmla="*/ 701862 w 1679416"/>
            <a:gd name="connsiteY42" fmla="*/ 186079 h 1399263"/>
            <a:gd name="connsiteX43" fmla="*/ 636691 w 1679416"/>
            <a:gd name="connsiteY43" fmla="*/ 176053 h 1399263"/>
            <a:gd name="connsiteX44" fmla="*/ 611625 w 1679416"/>
            <a:gd name="connsiteY44" fmla="*/ 161013 h 1399263"/>
            <a:gd name="connsiteX45" fmla="*/ 596586 w 1679416"/>
            <a:gd name="connsiteY45" fmla="*/ 156000 h 1399263"/>
            <a:gd name="connsiteX46" fmla="*/ 581546 w 1679416"/>
            <a:gd name="connsiteY46" fmla="*/ 145974 h 1399263"/>
            <a:gd name="connsiteX47" fmla="*/ 576533 w 1679416"/>
            <a:gd name="connsiteY47" fmla="*/ 130934 h 1399263"/>
            <a:gd name="connsiteX48" fmla="*/ 531415 w 1679416"/>
            <a:gd name="connsiteY48" fmla="*/ 75790 h 1399263"/>
            <a:gd name="connsiteX49" fmla="*/ 501336 w 1679416"/>
            <a:gd name="connsiteY49" fmla="*/ 65763 h 1399263"/>
            <a:gd name="connsiteX50" fmla="*/ 446191 w 1679416"/>
            <a:gd name="connsiteY50" fmla="*/ 50724 h 1399263"/>
            <a:gd name="connsiteX51" fmla="*/ 386033 w 1679416"/>
            <a:gd name="connsiteY51" fmla="*/ 30671 h 1399263"/>
            <a:gd name="connsiteX52" fmla="*/ 355954 w 1679416"/>
            <a:gd name="connsiteY52" fmla="*/ 20645 h 1399263"/>
            <a:gd name="connsiteX53" fmla="*/ 320862 w 1679416"/>
            <a:gd name="connsiteY53" fmla="*/ 15632 h 1399263"/>
            <a:gd name="connsiteX54" fmla="*/ 280757 w 1679416"/>
            <a:gd name="connsiteY54" fmla="*/ 10619 h 1399263"/>
            <a:gd name="connsiteX55" fmla="*/ 210573 w 1679416"/>
            <a:gd name="connsiteY55" fmla="*/ 592 h 1399263"/>
            <a:gd name="connsiteX56" fmla="*/ 155428 w 1679416"/>
            <a:gd name="connsiteY56" fmla="*/ 20645 h 1399263"/>
            <a:gd name="connsiteX57" fmla="*/ 160441 w 1679416"/>
            <a:gd name="connsiteY57" fmla="*/ 35684 h 1399263"/>
            <a:gd name="connsiteX58" fmla="*/ 140389 w 1679416"/>
            <a:gd name="connsiteY58" fmla="*/ 95842 h 1399263"/>
            <a:gd name="connsiteX59" fmla="*/ 125349 w 1679416"/>
            <a:gd name="connsiteY59" fmla="*/ 100856 h 1399263"/>
            <a:gd name="connsiteX60" fmla="*/ 100283 w 1679416"/>
            <a:gd name="connsiteY60" fmla="*/ 125921 h 1399263"/>
            <a:gd name="connsiteX61" fmla="*/ 75218 w 1679416"/>
            <a:gd name="connsiteY61" fmla="*/ 140961 h 1399263"/>
            <a:gd name="connsiteX62" fmla="*/ 50152 w 1679416"/>
            <a:gd name="connsiteY62" fmla="*/ 161013 h 1399263"/>
            <a:gd name="connsiteX63" fmla="*/ 35112 w 1679416"/>
            <a:gd name="connsiteY63" fmla="*/ 166027 h 1399263"/>
            <a:gd name="connsiteX64" fmla="*/ 35579 w 1679416"/>
            <a:gd name="connsiteY64" fmla="*/ 186079 h 1399263"/>
            <a:gd name="connsiteX65" fmla="*/ 40125 w 1679416"/>
            <a:gd name="connsiteY65" fmla="*/ 256263 h 1399263"/>
            <a:gd name="connsiteX66" fmla="*/ 10046 w 1679416"/>
            <a:gd name="connsiteY66" fmla="*/ 266290 h 1399263"/>
            <a:gd name="connsiteX67" fmla="*/ 20 w 1679416"/>
            <a:gd name="connsiteY67" fmla="*/ 281329 h 1399263"/>
            <a:gd name="connsiteX68" fmla="*/ 7656 w 1679416"/>
            <a:gd name="connsiteY68" fmla="*/ 310657 h 1399263"/>
            <a:gd name="connsiteX69" fmla="*/ 25086 w 1679416"/>
            <a:gd name="connsiteY69" fmla="*/ 341487 h 1399263"/>
            <a:gd name="connsiteX70" fmla="*/ 30099 w 1679416"/>
            <a:gd name="connsiteY70" fmla="*/ 356527 h 1399263"/>
            <a:gd name="connsiteX71" fmla="*/ 35112 w 1679416"/>
            <a:gd name="connsiteY71" fmla="*/ 371566 h 1399263"/>
            <a:gd name="connsiteX72" fmla="*/ 40125 w 1679416"/>
            <a:gd name="connsiteY72" fmla="*/ 406658 h 1399263"/>
            <a:gd name="connsiteX73" fmla="*/ 45139 w 1679416"/>
            <a:gd name="connsiteY73" fmla="*/ 421698 h 1399263"/>
            <a:gd name="connsiteX74" fmla="*/ 35112 w 1679416"/>
            <a:gd name="connsiteY74" fmla="*/ 557053 h 1399263"/>
            <a:gd name="connsiteX75" fmla="*/ 30099 w 1679416"/>
            <a:gd name="connsiteY75" fmla="*/ 617211 h 1399263"/>
            <a:gd name="connsiteX76" fmla="*/ 40125 w 1679416"/>
            <a:gd name="connsiteY76" fmla="*/ 647290 h 1399263"/>
            <a:gd name="connsiteX77" fmla="*/ 45139 w 1679416"/>
            <a:gd name="connsiteY77" fmla="*/ 662329 h 1399263"/>
            <a:gd name="connsiteX78" fmla="*/ 35112 w 1679416"/>
            <a:gd name="connsiteY78" fmla="*/ 707448 h 1399263"/>
            <a:gd name="connsiteX79" fmla="*/ 10046 w 1679416"/>
            <a:gd name="connsiteY79" fmla="*/ 752566 h 1399263"/>
            <a:gd name="connsiteX80" fmla="*/ 30099 w 1679416"/>
            <a:gd name="connsiteY80" fmla="*/ 772619 h 1399263"/>
            <a:gd name="connsiteX81" fmla="*/ 35112 w 1679416"/>
            <a:gd name="connsiteY81" fmla="*/ 787658 h 1399263"/>
            <a:gd name="connsiteX82" fmla="*/ 55165 w 1679416"/>
            <a:gd name="connsiteY82" fmla="*/ 807711 h 1399263"/>
            <a:gd name="connsiteX83" fmla="*/ 60178 w 1679416"/>
            <a:gd name="connsiteY83" fmla="*/ 822750 h 1399263"/>
            <a:gd name="connsiteX84" fmla="*/ 70204 w 1679416"/>
            <a:gd name="connsiteY84" fmla="*/ 832777 h 1399263"/>
            <a:gd name="connsiteX85" fmla="*/ 80231 w 1679416"/>
            <a:gd name="connsiteY85" fmla="*/ 862856 h 1399263"/>
            <a:gd name="connsiteX86" fmla="*/ 90257 w 1679416"/>
            <a:gd name="connsiteY86" fmla="*/ 877895 h 1399263"/>
            <a:gd name="connsiteX87" fmla="*/ 100283 w 1679416"/>
            <a:gd name="connsiteY87" fmla="*/ 907974 h 1399263"/>
            <a:gd name="connsiteX88" fmla="*/ 105296 w 1679416"/>
            <a:gd name="connsiteY88" fmla="*/ 923013 h 1399263"/>
            <a:gd name="connsiteX89" fmla="*/ 135375 w 1679416"/>
            <a:gd name="connsiteY89" fmla="*/ 933040 h 1399263"/>
            <a:gd name="connsiteX90" fmla="*/ 150415 w 1679416"/>
            <a:gd name="connsiteY90" fmla="*/ 938053 h 1399263"/>
            <a:gd name="connsiteX91" fmla="*/ 190520 w 1679416"/>
            <a:gd name="connsiteY91" fmla="*/ 943066 h 1399263"/>
            <a:gd name="connsiteX92" fmla="*/ 220599 w 1679416"/>
            <a:gd name="connsiteY92" fmla="*/ 953092 h 1399263"/>
            <a:gd name="connsiteX93" fmla="*/ 235639 w 1679416"/>
            <a:gd name="connsiteY93" fmla="*/ 958106 h 1399263"/>
            <a:gd name="connsiteX94" fmla="*/ 250678 w 1679416"/>
            <a:gd name="connsiteY94" fmla="*/ 968132 h 1399263"/>
            <a:gd name="connsiteX95" fmla="*/ 270731 w 1679416"/>
            <a:gd name="connsiteY95" fmla="*/ 993198 h 1399263"/>
            <a:gd name="connsiteX96" fmla="*/ 285770 w 1679416"/>
            <a:gd name="connsiteY96" fmla="*/ 1003224 h 1399263"/>
            <a:gd name="connsiteX97" fmla="*/ 295796 w 1679416"/>
            <a:gd name="connsiteY97" fmla="*/ 1018263 h 1399263"/>
            <a:gd name="connsiteX98" fmla="*/ 325875 w 1679416"/>
            <a:gd name="connsiteY98" fmla="*/ 1028290 h 1399263"/>
            <a:gd name="connsiteX99" fmla="*/ 401073 w 1679416"/>
            <a:gd name="connsiteY99" fmla="*/ 1038316 h 1399263"/>
            <a:gd name="connsiteX100" fmla="*/ 431152 w 1679416"/>
            <a:gd name="connsiteY100" fmla="*/ 1048342 h 1399263"/>
            <a:gd name="connsiteX101" fmla="*/ 446191 w 1679416"/>
            <a:gd name="connsiteY101" fmla="*/ 1053356 h 1399263"/>
            <a:gd name="connsiteX102" fmla="*/ 476270 w 1679416"/>
            <a:gd name="connsiteY102" fmla="*/ 1068395 h 1399263"/>
            <a:gd name="connsiteX103" fmla="*/ 486296 w 1679416"/>
            <a:gd name="connsiteY103" fmla="*/ 1083434 h 1399263"/>
            <a:gd name="connsiteX104" fmla="*/ 516375 w 1679416"/>
            <a:gd name="connsiteY104" fmla="*/ 1093461 h 1399263"/>
            <a:gd name="connsiteX105" fmla="*/ 541441 w 1679416"/>
            <a:gd name="connsiteY105" fmla="*/ 1113513 h 1399263"/>
            <a:gd name="connsiteX106" fmla="*/ 576533 w 1679416"/>
            <a:gd name="connsiteY106" fmla="*/ 1108500 h 1399263"/>
            <a:gd name="connsiteX107" fmla="*/ 606612 w 1679416"/>
            <a:gd name="connsiteY107" fmla="*/ 1093461 h 1399263"/>
            <a:gd name="connsiteX108" fmla="*/ 656744 w 1679416"/>
            <a:gd name="connsiteY108" fmla="*/ 1078421 h 1399263"/>
            <a:gd name="connsiteX109" fmla="*/ 671783 w 1679416"/>
            <a:gd name="connsiteY109" fmla="*/ 1073408 h 1399263"/>
            <a:gd name="connsiteX110" fmla="*/ 681810 w 1679416"/>
            <a:gd name="connsiteY110" fmla="*/ 1063382 h 1399263"/>
            <a:gd name="connsiteX111" fmla="*/ 691836 w 1679416"/>
            <a:gd name="connsiteY111" fmla="*/ 1048342 h 1399263"/>
            <a:gd name="connsiteX112" fmla="*/ 706875 w 1679416"/>
            <a:gd name="connsiteY112" fmla="*/ 1043329 h 1399263"/>
            <a:gd name="connsiteX113" fmla="*/ 721915 w 1679416"/>
            <a:gd name="connsiteY113" fmla="*/ 1053356 h 1399263"/>
            <a:gd name="connsiteX114" fmla="*/ 736954 w 1679416"/>
            <a:gd name="connsiteY114" fmla="*/ 1058369 h 1399263"/>
            <a:gd name="connsiteX115" fmla="*/ 746981 w 1679416"/>
            <a:gd name="connsiteY115" fmla="*/ 1068395 h 1399263"/>
            <a:gd name="connsiteX116" fmla="*/ 762020 w 1679416"/>
            <a:gd name="connsiteY116" fmla="*/ 1078421 h 1399263"/>
            <a:gd name="connsiteX117" fmla="*/ 772046 w 1679416"/>
            <a:gd name="connsiteY117" fmla="*/ 1088448 h 1399263"/>
            <a:gd name="connsiteX118" fmla="*/ 802125 w 1679416"/>
            <a:gd name="connsiteY118" fmla="*/ 1093461 h 1399263"/>
            <a:gd name="connsiteX119" fmla="*/ 882336 w 1679416"/>
            <a:gd name="connsiteY119" fmla="*/ 1108500 h 1399263"/>
            <a:gd name="connsiteX120" fmla="*/ 937481 w 1679416"/>
            <a:gd name="connsiteY120" fmla="*/ 1123540 h 1399263"/>
            <a:gd name="connsiteX121" fmla="*/ 957533 w 1679416"/>
            <a:gd name="connsiteY121" fmla="*/ 1128553 h 1399263"/>
            <a:gd name="connsiteX122" fmla="*/ 997639 w 1679416"/>
            <a:gd name="connsiteY122" fmla="*/ 1148606 h 1399263"/>
            <a:gd name="connsiteX123" fmla="*/ 997639 w 1679416"/>
            <a:gd name="connsiteY123" fmla="*/ 1148606 h 1399263"/>
            <a:gd name="connsiteX124" fmla="*/ 1027718 w 1679416"/>
            <a:gd name="connsiteY124" fmla="*/ 1168658 h 1399263"/>
            <a:gd name="connsiteX125" fmla="*/ 1042757 w 1679416"/>
            <a:gd name="connsiteY125" fmla="*/ 1178684 h 1399263"/>
            <a:gd name="connsiteX126" fmla="*/ 1057796 w 1679416"/>
            <a:gd name="connsiteY126" fmla="*/ 1183698 h 1399263"/>
            <a:gd name="connsiteX127" fmla="*/ 1082862 w 1679416"/>
            <a:gd name="connsiteY127" fmla="*/ 1203750 h 1399263"/>
            <a:gd name="connsiteX128" fmla="*/ 1097902 w 1679416"/>
            <a:gd name="connsiteY128" fmla="*/ 1208763 h 1399263"/>
            <a:gd name="connsiteX129" fmla="*/ 1107928 w 1679416"/>
            <a:gd name="connsiteY129" fmla="*/ 1218790 h 1399263"/>
            <a:gd name="connsiteX130" fmla="*/ 1122968 w 1679416"/>
            <a:gd name="connsiteY130" fmla="*/ 1223803 h 1399263"/>
            <a:gd name="connsiteX131" fmla="*/ 1143020 w 1679416"/>
            <a:gd name="connsiteY131" fmla="*/ 1233829 h 1399263"/>
            <a:gd name="connsiteX132" fmla="*/ 1153046 w 1679416"/>
            <a:gd name="connsiteY132" fmla="*/ 1243856 h 1399263"/>
            <a:gd name="connsiteX133" fmla="*/ 1183125 w 1679416"/>
            <a:gd name="connsiteY133" fmla="*/ 1253882 h 1399263"/>
            <a:gd name="connsiteX134" fmla="*/ 1233257 w 1679416"/>
            <a:gd name="connsiteY134" fmla="*/ 1263908 h 1399263"/>
            <a:gd name="connsiteX135" fmla="*/ 1248296 w 1679416"/>
            <a:gd name="connsiteY135" fmla="*/ 1268921 h 1399263"/>
            <a:gd name="connsiteX136" fmla="*/ 1258323 w 1679416"/>
            <a:gd name="connsiteY136" fmla="*/ 1278948 h 1399263"/>
            <a:gd name="connsiteX137" fmla="*/ 1278375 w 1679416"/>
            <a:gd name="connsiteY137" fmla="*/ 1283961 h 1399263"/>
            <a:gd name="connsiteX138" fmla="*/ 1293415 w 1679416"/>
            <a:gd name="connsiteY138" fmla="*/ 1288974 h 1399263"/>
            <a:gd name="connsiteX139" fmla="*/ 1328507 w 1679416"/>
            <a:gd name="connsiteY139" fmla="*/ 1309027 h 1399263"/>
            <a:gd name="connsiteX140" fmla="*/ 1343546 w 1679416"/>
            <a:gd name="connsiteY140" fmla="*/ 1314040 h 1399263"/>
            <a:gd name="connsiteX141" fmla="*/ 1383652 w 1679416"/>
            <a:gd name="connsiteY141" fmla="*/ 1329079 h 1399263"/>
            <a:gd name="connsiteX142" fmla="*/ 1413731 w 1679416"/>
            <a:gd name="connsiteY142" fmla="*/ 1339106 h 1399263"/>
            <a:gd name="connsiteX143" fmla="*/ 1428770 w 1679416"/>
            <a:gd name="connsiteY143" fmla="*/ 1344119 h 1399263"/>
            <a:gd name="connsiteX144" fmla="*/ 1443810 w 1679416"/>
            <a:gd name="connsiteY144" fmla="*/ 1354145 h 1399263"/>
            <a:gd name="connsiteX145" fmla="*/ 1463862 w 1679416"/>
            <a:gd name="connsiteY145" fmla="*/ 1359158 h 1399263"/>
            <a:gd name="connsiteX146" fmla="*/ 1493941 w 1679416"/>
            <a:gd name="connsiteY146" fmla="*/ 1369184 h 1399263"/>
            <a:gd name="connsiteX147" fmla="*/ 1534046 w 1679416"/>
            <a:gd name="connsiteY147" fmla="*/ 1389237 h 1399263"/>
            <a:gd name="connsiteX148" fmla="*/ 1549086 w 1679416"/>
            <a:gd name="connsiteY148" fmla="*/ 1394250 h 1399263"/>
            <a:gd name="connsiteX149" fmla="*/ 1564125 w 1679416"/>
            <a:gd name="connsiteY149" fmla="*/ 1399263 h 1399263"/>
            <a:gd name="connsiteX150" fmla="*/ 1579165 w 1679416"/>
            <a:gd name="connsiteY150" fmla="*/ 1394250 h 1399263"/>
            <a:gd name="connsiteX151" fmla="*/ 1594204 w 1679416"/>
            <a:gd name="connsiteY151" fmla="*/ 1384224 h 1399263"/>
            <a:gd name="connsiteX152" fmla="*/ 1609244 w 1679416"/>
            <a:gd name="connsiteY152" fmla="*/ 1389237 h 1399263"/>
            <a:gd name="connsiteX153" fmla="*/ 1669402 w 1679416"/>
            <a:gd name="connsiteY153" fmla="*/ 1394250 h 1399263"/>
            <a:gd name="connsiteX154" fmla="*/ 1669402 w 1679416"/>
            <a:gd name="connsiteY154" fmla="*/ 1253882 h 1399263"/>
            <a:gd name="connsiteX155" fmla="*/ 1659375 w 1679416"/>
            <a:gd name="connsiteY155" fmla="*/ 1208763 h 1399263"/>
            <a:gd name="connsiteX156" fmla="*/ 1649349 w 1679416"/>
            <a:gd name="connsiteY156" fmla="*/ 1193724 h 1399263"/>
            <a:gd name="connsiteX157" fmla="*/ 1644336 w 1679416"/>
            <a:gd name="connsiteY157" fmla="*/ 1138579 h 1399263"/>
            <a:gd name="connsiteX158" fmla="*/ 1639323 w 1679416"/>
            <a:gd name="connsiteY158" fmla="*/ 1058369 h 1399263"/>
            <a:gd name="connsiteX159" fmla="*/ 1629296 w 1679416"/>
            <a:gd name="connsiteY159" fmla="*/ 1028290 h 1399263"/>
            <a:gd name="connsiteX160" fmla="*/ 1619270 w 1679416"/>
            <a:gd name="connsiteY160" fmla="*/ 1018263 h 1399263"/>
            <a:gd name="connsiteX161" fmla="*/ 1604231 w 1679416"/>
            <a:gd name="connsiteY161" fmla="*/ 968132 h 1399263"/>
            <a:gd name="connsiteX162" fmla="*/ 1599218 w 1679416"/>
            <a:gd name="connsiteY162" fmla="*/ 822750 h 1399263"/>
            <a:gd name="connsiteX163" fmla="*/ 1599218 w 1679416"/>
            <a:gd name="connsiteY163" fmla="*/ 677369 h 1399263"/>
            <a:gd name="connsiteX164" fmla="*/ 1589191 w 1679416"/>
            <a:gd name="connsiteY164" fmla="*/ 632250 h 1399263"/>
            <a:gd name="connsiteX165" fmla="*/ 1579165 w 1679416"/>
            <a:gd name="connsiteY165" fmla="*/ 617211 h 1399263"/>
            <a:gd name="connsiteX166" fmla="*/ 1569139 w 1679416"/>
            <a:gd name="connsiteY166" fmla="*/ 537000 h 1399263"/>
            <a:gd name="connsiteX167" fmla="*/ 1564125 w 1679416"/>
            <a:gd name="connsiteY167" fmla="*/ 521961 h 1399263"/>
            <a:gd name="connsiteX168" fmla="*/ 1544073 w 1679416"/>
            <a:gd name="connsiteY168" fmla="*/ 471829 h 1399263"/>
            <a:gd name="connsiteX169" fmla="*/ 1534046 w 1679416"/>
            <a:gd name="connsiteY169" fmla="*/ 441750 h 1399263"/>
            <a:gd name="connsiteX170" fmla="*/ 1529033 w 1679416"/>
            <a:gd name="connsiteY170" fmla="*/ 426711 h 1399263"/>
            <a:gd name="connsiteX171" fmla="*/ 1524020 w 1679416"/>
            <a:gd name="connsiteY171" fmla="*/ 401645 h 1399263"/>
            <a:gd name="connsiteX172" fmla="*/ 1513994 w 1679416"/>
            <a:gd name="connsiteY172" fmla="*/ 341487 h 1399263"/>
            <a:gd name="connsiteX173" fmla="*/ 1503968 w 1679416"/>
            <a:gd name="connsiteY173" fmla="*/ 326448 h 1399263"/>
            <a:gd name="connsiteX174" fmla="*/ 1498954 w 1679416"/>
            <a:gd name="connsiteY174" fmla="*/ 311408 h 1399263"/>
            <a:gd name="connsiteX175" fmla="*/ 1493941 w 1679416"/>
            <a:gd name="connsiteY175" fmla="*/ 211145 h 1399263"/>
            <a:gd name="connsiteX176" fmla="*/ 1478902 w 1679416"/>
            <a:gd name="connsiteY176" fmla="*/ 201119 h 1399263"/>
            <a:gd name="connsiteX177" fmla="*/ 1483915 w 1679416"/>
            <a:gd name="connsiteY177" fmla="*/ 181066 h 1399263"/>
            <a:gd name="connsiteX178" fmla="*/ 1508981 w 1679416"/>
            <a:gd name="connsiteY178" fmla="*/ 166027 h 1399263"/>
            <a:gd name="connsiteX0" fmla="*/ 1516139 w 1686574"/>
            <a:gd name="connsiteY0" fmla="*/ 166027 h 1399263"/>
            <a:gd name="connsiteX1" fmla="*/ 1511126 w 1686574"/>
            <a:gd name="connsiteY1" fmla="*/ 135948 h 1399263"/>
            <a:gd name="connsiteX2" fmla="*/ 1471020 w 1686574"/>
            <a:gd name="connsiteY2" fmla="*/ 115895 h 1399263"/>
            <a:gd name="connsiteX3" fmla="*/ 1440941 w 1686574"/>
            <a:gd name="connsiteY3" fmla="*/ 105869 h 1399263"/>
            <a:gd name="connsiteX4" fmla="*/ 1425902 w 1686574"/>
            <a:gd name="connsiteY4" fmla="*/ 100856 h 1399263"/>
            <a:gd name="connsiteX5" fmla="*/ 1405849 w 1686574"/>
            <a:gd name="connsiteY5" fmla="*/ 95842 h 1399263"/>
            <a:gd name="connsiteX6" fmla="*/ 1375770 w 1686574"/>
            <a:gd name="connsiteY6" fmla="*/ 85816 h 1399263"/>
            <a:gd name="connsiteX7" fmla="*/ 1360731 w 1686574"/>
            <a:gd name="connsiteY7" fmla="*/ 80803 h 1399263"/>
            <a:gd name="connsiteX8" fmla="*/ 1350704 w 1686574"/>
            <a:gd name="connsiteY8" fmla="*/ 70777 h 1399263"/>
            <a:gd name="connsiteX9" fmla="*/ 1320626 w 1686574"/>
            <a:gd name="connsiteY9" fmla="*/ 60750 h 1399263"/>
            <a:gd name="connsiteX10" fmla="*/ 1295560 w 1686574"/>
            <a:gd name="connsiteY10" fmla="*/ 40698 h 1399263"/>
            <a:gd name="connsiteX11" fmla="*/ 1285533 w 1686574"/>
            <a:gd name="connsiteY11" fmla="*/ 30671 h 1399263"/>
            <a:gd name="connsiteX12" fmla="*/ 1265481 w 1686574"/>
            <a:gd name="connsiteY12" fmla="*/ 25658 h 1399263"/>
            <a:gd name="connsiteX13" fmla="*/ 1250441 w 1686574"/>
            <a:gd name="connsiteY13" fmla="*/ 20645 h 1399263"/>
            <a:gd name="connsiteX14" fmla="*/ 1235402 w 1686574"/>
            <a:gd name="connsiteY14" fmla="*/ 10619 h 1399263"/>
            <a:gd name="connsiteX15" fmla="*/ 1190283 w 1686574"/>
            <a:gd name="connsiteY15" fmla="*/ 5606 h 1399263"/>
            <a:gd name="connsiteX16" fmla="*/ 1175244 w 1686574"/>
            <a:gd name="connsiteY16" fmla="*/ 592 h 1399263"/>
            <a:gd name="connsiteX17" fmla="*/ 1140152 w 1686574"/>
            <a:gd name="connsiteY17" fmla="*/ 5606 h 1399263"/>
            <a:gd name="connsiteX18" fmla="*/ 1120099 w 1686574"/>
            <a:gd name="connsiteY18" fmla="*/ 10619 h 1399263"/>
            <a:gd name="connsiteX19" fmla="*/ 1090020 w 1686574"/>
            <a:gd name="connsiteY19" fmla="*/ 15632 h 1399263"/>
            <a:gd name="connsiteX20" fmla="*/ 1074981 w 1686574"/>
            <a:gd name="connsiteY20" fmla="*/ 20645 h 1399263"/>
            <a:gd name="connsiteX21" fmla="*/ 1064954 w 1686574"/>
            <a:gd name="connsiteY21" fmla="*/ 30671 h 1399263"/>
            <a:gd name="connsiteX22" fmla="*/ 1039889 w 1686574"/>
            <a:gd name="connsiteY22" fmla="*/ 35684 h 1399263"/>
            <a:gd name="connsiteX23" fmla="*/ 1009810 w 1686574"/>
            <a:gd name="connsiteY23" fmla="*/ 45711 h 1399263"/>
            <a:gd name="connsiteX24" fmla="*/ 989757 w 1686574"/>
            <a:gd name="connsiteY24" fmla="*/ 70777 h 1399263"/>
            <a:gd name="connsiteX25" fmla="*/ 999783 w 1686574"/>
            <a:gd name="connsiteY25" fmla="*/ 130934 h 1399263"/>
            <a:gd name="connsiteX26" fmla="*/ 1009810 w 1686574"/>
            <a:gd name="connsiteY26" fmla="*/ 140961 h 1399263"/>
            <a:gd name="connsiteX27" fmla="*/ 1014823 w 1686574"/>
            <a:gd name="connsiteY27" fmla="*/ 156000 h 1399263"/>
            <a:gd name="connsiteX28" fmla="*/ 1029862 w 1686574"/>
            <a:gd name="connsiteY28" fmla="*/ 181066 h 1399263"/>
            <a:gd name="connsiteX29" fmla="*/ 1024849 w 1686574"/>
            <a:gd name="connsiteY29" fmla="*/ 196106 h 1399263"/>
            <a:gd name="connsiteX30" fmla="*/ 1009810 w 1686574"/>
            <a:gd name="connsiteY30" fmla="*/ 201119 h 1399263"/>
            <a:gd name="connsiteX31" fmla="*/ 994770 w 1686574"/>
            <a:gd name="connsiteY31" fmla="*/ 211145 h 1399263"/>
            <a:gd name="connsiteX32" fmla="*/ 969704 w 1686574"/>
            <a:gd name="connsiteY32" fmla="*/ 236211 h 1399263"/>
            <a:gd name="connsiteX33" fmla="*/ 939626 w 1686574"/>
            <a:gd name="connsiteY33" fmla="*/ 256263 h 1399263"/>
            <a:gd name="connsiteX34" fmla="*/ 934612 w 1686574"/>
            <a:gd name="connsiteY34" fmla="*/ 271303 h 1399263"/>
            <a:gd name="connsiteX35" fmla="*/ 894507 w 1686574"/>
            <a:gd name="connsiteY35" fmla="*/ 256263 h 1399263"/>
            <a:gd name="connsiteX36" fmla="*/ 864428 w 1686574"/>
            <a:gd name="connsiteY36" fmla="*/ 246237 h 1399263"/>
            <a:gd name="connsiteX37" fmla="*/ 849389 w 1686574"/>
            <a:gd name="connsiteY37" fmla="*/ 241224 h 1399263"/>
            <a:gd name="connsiteX38" fmla="*/ 834349 w 1686574"/>
            <a:gd name="connsiteY38" fmla="*/ 236211 h 1399263"/>
            <a:gd name="connsiteX39" fmla="*/ 799257 w 1686574"/>
            <a:gd name="connsiteY39" fmla="*/ 221171 h 1399263"/>
            <a:gd name="connsiteX40" fmla="*/ 749126 w 1686574"/>
            <a:gd name="connsiteY40" fmla="*/ 206132 h 1399263"/>
            <a:gd name="connsiteX41" fmla="*/ 739099 w 1686574"/>
            <a:gd name="connsiteY41" fmla="*/ 196106 h 1399263"/>
            <a:gd name="connsiteX42" fmla="*/ 709020 w 1686574"/>
            <a:gd name="connsiteY42" fmla="*/ 186079 h 1399263"/>
            <a:gd name="connsiteX43" fmla="*/ 643849 w 1686574"/>
            <a:gd name="connsiteY43" fmla="*/ 176053 h 1399263"/>
            <a:gd name="connsiteX44" fmla="*/ 618783 w 1686574"/>
            <a:gd name="connsiteY44" fmla="*/ 161013 h 1399263"/>
            <a:gd name="connsiteX45" fmla="*/ 603744 w 1686574"/>
            <a:gd name="connsiteY45" fmla="*/ 156000 h 1399263"/>
            <a:gd name="connsiteX46" fmla="*/ 588704 w 1686574"/>
            <a:gd name="connsiteY46" fmla="*/ 145974 h 1399263"/>
            <a:gd name="connsiteX47" fmla="*/ 583691 w 1686574"/>
            <a:gd name="connsiteY47" fmla="*/ 130934 h 1399263"/>
            <a:gd name="connsiteX48" fmla="*/ 538573 w 1686574"/>
            <a:gd name="connsiteY48" fmla="*/ 75790 h 1399263"/>
            <a:gd name="connsiteX49" fmla="*/ 508494 w 1686574"/>
            <a:gd name="connsiteY49" fmla="*/ 65763 h 1399263"/>
            <a:gd name="connsiteX50" fmla="*/ 453349 w 1686574"/>
            <a:gd name="connsiteY50" fmla="*/ 50724 h 1399263"/>
            <a:gd name="connsiteX51" fmla="*/ 393191 w 1686574"/>
            <a:gd name="connsiteY51" fmla="*/ 30671 h 1399263"/>
            <a:gd name="connsiteX52" fmla="*/ 363112 w 1686574"/>
            <a:gd name="connsiteY52" fmla="*/ 20645 h 1399263"/>
            <a:gd name="connsiteX53" fmla="*/ 328020 w 1686574"/>
            <a:gd name="connsiteY53" fmla="*/ 15632 h 1399263"/>
            <a:gd name="connsiteX54" fmla="*/ 287915 w 1686574"/>
            <a:gd name="connsiteY54" fmla="*/ 10619 h 1399263"/>
            <a:gd name="connsiteX55" fmla="*/ 217731 w 1686574"/>
            <a:gd name="connsiteY55" fmla="*/ 592 h 1399263"/>
            <a:gd name="connsiteX56" fmla="*/ 162586 w 1686574"/>
            <a:gd name="connsiteY56" fmla="*/ 20645 h 1399263"/>
            <a:gd name="connsiteX57" fmla="*/ 167599 w 1686574"/>
            <a:gd name="connsiteY57" fmla="*/ 35684 h 1399263"/>
            <a:gd name="connsiteX58" fmla="*/ 147547 w 1686574"/>
            <a:gd name="connsiteY58" fmla="*/ 95842 h 1399263"/>
            <a:gd name="connsiteX59" fmla="*/ 132507 w 1686574"/>
            <a:gd name="connsiteY59" fmla="*/ 100856 h 1399263"/>
            <a:gd name="connsiteX60" fmla="*/ 107441 w 1686574"/>
            <a:gd name="connsiteY60" fmla="*/ 125921 h 1399263"/>
            <a:gd name="connsiteX61" fmla="*/ 82376 w 1686574"/>
            <a:gd name="connsiteY61" fmla="*/ 140961 h 1399263"/>
            <a:gd name="connsiteX62" fmla="*/ 57310 w 1686574"/>
            <a:gd name="connsiteY62" fmla="*/ 161013 h 1399263"/>
            <a:gd name="connsiteX63" fmla="*/ 42270 w 1686574"/>
            <a:gd name="connsiteY63" fmla="*/ 166027 h 1399263"/>
            <a:gd name="connsiteX64" fmla="*/ 42737 w 1686574"/>
            <a:gd name="connsiteY64" fmla="*/ 186079 h 1399263"/>
            <a:gd name="connsiteX65" fmla="*/ 47283 w 1686574"/>
            <a:gd name="connsiteY65" fmla="*/ 256263 h 1399263"/>
            <a:gd name="connsiteX66" fmla="*/ 17204 w 1686574"/>
            <a:gd name="connsiteY66" fmla="*/ 266290 h 1399263"/>
            <a:gd name="connsiteX67" fmla="*/ 9 w 1686574"/>
            <a:gd name="connsiteY67" fmla="*/ 274185 h 1399263"/>
            <a:gd name="connsiteX68" fmla="*/ 14814 w 1686574"/>
            <a:gd name="connsiteY68" fmla="*/ 310657 h 1399263"/>
            <a:gd name="connsiteX69" fmla="*/ 32244 w 1686574"/>
            <a:gd name="connsiteY69" fmla="*/ 341487 h 1399263"/>
            <a:gd name="connsiteX70" fmla="*/ 37257 w 1686574"/>
            <a:gd name="connsiteY70" fmla="*/ 356527 h 1399263"/>
            <a:gd name="connsiteX71" fmla="*/ 42270 w 1686574"/>
            <a:gd name="connsiteY71" fmla="*/ 371566 h 1399263"/>
            <a:gd name="connsiteX72" fmla="*/ 47283 w 1686574"/>
            <a:gd name="connsiteY72" fmla="*/ 406658 h 1399263"/>
            <a:gd name="connsiteX73" fmla="*/ 52297 w 1686574"/>
            <a:gd name="connsiteY73" fmla="*/ 421698 h 1399263"/>
            <a:gd name="connsiteX74" fmla="*/ 42270 w 1686574"/>
            <a:gd name="connsiteY74" fmla="*/ 557053 h 1399263"/>
            <a:gd name="connsiteX75" fmla="*/ 37257 w 1686574"/>
            <a:gd name="connsiteY75" fmla="*/ 617211 h 1399263"/>
            <a:gd name="connsiteX76" fmla="*/ 47283 w 1686574"/>
            <a:gd name="connsiteY76" fmla="*/ 647290 h 1399263"/>
            <a:gd name="connsiteX77" fmla="*/ 52297 w 1686574"/>
            <a:gd name="connsiteY77" fmla="*/ 662329 h 1399263"/>
            <a:gd name="connsiteX78" fmla="*/ 42270 w 1686574"/>
            <a:gd name="connsiteY78" fmla="*/ 707448 h 1399263"/>
            <a:gd name="connsiteX79" fmla="*/ 17204 w 1686574"/>
            <a:gd name="connsiteY79" fmla="*/ 752566 h 1399263"/>
            <a:gd name="connsiteX80" fmla="*/ 37257 w 1686574"/>
            <a:gd name="connsiteY80" fmla="*/ 772619 h 1399263"/>
            <a:gd name="connsiteX81" fmla="*/ 42270 w 1686574"/>
            <a:gd name="connsiteY81" fmla="*/ 787658 h 1399263"/>
            <a:gd name="connsiteX82" fmla="*/ 62323 w 1686574"/>
            <a:gd name="connsiteY82" fmla="*/ 807711 h 1399263"/>
            <a:gd name="connsiteX83" fmla="*/ 67336 w 1686574"/>
            <a:gd name="connsiteY83" fmla="*/ 822750 h 1399263"/>
            <a:gd name="connsiteX84" fmla="*/ 77362 w 1686574"/>
            <a:gd name="connsiteY84" fmla="*/ 832777 h 1399263"/>
            <a:gd name="connsiteX85" fmla="*/ 87389 w 1686574"/>
            <a:gd name="connsiteY85" fmla="*/ 862856 h 1399263"/>
            <a:gd name="connsiteX86" fmla="*/ 97415 w 1686574"/>
            <a:gd name="connsiteY86" fmla="*/ 877895 h 1399263"/>
            <a:gd name="connsiteX87" fmla="*/ 107441 w 1686574"/>
            <a:gd name="connsiteY87" fmla="*/ 907974 h 1399263"/>
            <a:gd name="connsiteX88" fmla="*/ 112454 w 1686574"/>
            <a:gd name="connsiteY88" fmla="*/ 923013 h 1399263"/>
            <a:gd name="connsiteX89" fmla="*/ 142533 w 1686574"/>
            <a:gd name="connsiteY89" fmla="*/ 933040 h 1399263"/>
            <a:gd name="connsiteX90" fmla="*/ 157573 w 1686574"/>
            <a:gd name="connsiteY90" fmla="*/ 938053 h 1399263"/>
            <a:gd name="connsiteX91" fmla="*/ 197678 w 1686574"/>
            <a:gd name="connsiteY91" fmla="*/ 943066 h 1399263"/>
            <a:gd name="connsiteX92" fmla="*/ 227757 w 1686574"/>
            <a:gd name="connsiteY92" fmla="*/ 953092 h 1399263"/>
            <a:gd name="connsiteX93" fmla="*/ 242797 w 1686574"/>
            <a:gd name="connsiteY93" fmla="*/ 958106 h 1399263"/>
            <a:gd name="connsiteX94" fmla="*/ 257836 w 1686574"/>
            <a:gd name="connsiteY94" fmla="*/ 968132 h 1399263"/>
            <a:gd name="connsiteX95" fmla="*/ 277889 w 1686574"/>
            <a:gd name="connsiteY95" fmla="*/ 993198 h 1399263"/>
            <a:gd name="connsiteX96" fmla="*/ 292928 w 1686574"/>
            <a:gd name="connsiteY96" fmla="*/ 1003224 h 1399263"/>
            <a:gd name="connsiteX97" fmla="*/ 302954 w 1686574"/>
            <a:gd name="connsiteY97" fmla="*/ 1018263 h 1399263"/>
            <a:gd name="connsiteX98" fmla="*/ 333033 w 1686574"/>
            <a:gd name="connsiteY98" fmla="*/ 1028290 h 1399263"/>
            <a:gd name="connsiteX99" fmla="*/ 408231 w 1686574"/>
            <a:gd name="connsiteY99" fmla="*/ 1038316 h 1399263"/>
            <a:gd name="connsiteX100" fmla="*/ 438310 w 1686574"/>
            <a:gd name="connsiteY100" fmla="*/ 1048342 h 1399263"/>
            <a:gd name="connsiteX101" fmla="*/ 453349 w 1686574"/>
            <a:gd name="connsiteY101" fmla="*/ 1053356 h 1399263"/>
            <a:gd name="connsiteX102" fmla="*/ 483428 w 1686574"/>
            <a:gd name="connsiteY102" fmla="*/ 1068395 h 1399263"/>
            <a:gd name="connsiteX103" fmla="*/ 493454 w 1686574"/>
            <a:gd name="connsiteY103" fmla="*/ 1083434 h 1399263"/>
            <a:gd name="connsiteX104" fmla="*/ 523533 w 1686574"/>
            <a:gd name="connsiteY104" fmla="*/ 1093461 h 1399263"/>
            <a:gd name="connsiteX105" fmla="*/ 548599 w 1686574"/>
            <a:gd name="connsiteY105" fmla="*/ 1113513 h 1399263"/>
            <a:gd name="connsiteX106" fmla="*/ 583691 w 1686574"/>
            <a:gd name="connsiteY106" fmla="*/ 1108500 h 1399263"/>
            <a:gd name="connsiteX107" fmla="*/ 613770 w 1686574"/>
            <a:gd name="connsiteY107" fmla="*/ 1093461 h 1399263"/>
            <a:gd name="connsiteX108" fmla="*/ 663902 w 1686574"/>
            <a:gd name="connsiteY108" fmla="*/ 1078421 h 1399263"/>
            <a:gd name="connsiteX109" fmla="*/ 678941 w 1686574"/>
            <a:gd name="connsiteY109" fmla="*/ 1073408 h 1399263"/>
            <a:gd name="connsiteX110" fmla="*/ 688968 w 1686574"/>
            <a:gd name="connsiteY110" fmla="*/ 1063382 h 1399263"/>
            <a:gd name="connsiteX111" fmla="*/ 698994 w 1686574"/>
            <a:gd name="connsiteY111" fmla="*/ 1048342 h 1399263"/>
            <a:gd name="connsiteX112" fmla="*/ 714033 w 1686574"/>
            <a:gd name="connsiteY112" fmla="*/ 1043329 h 1399263"/>
            <a:gd name="connsiteX113" fmla="*/ 729073 w 1686574"/>
            <a:gd name="connsiteY113" fmla="*/ 1053356 h 1399263"/>
            <a:gd name="connsiteX114" fmla="*/ 744112 w 1686574"/>
            <a:gd name="connsiteY114" fmla="*/ 1058369 h 1399263"/>
            <a:gd name="connsiteX115" fmla="*/ 754139 w 1686574"/>
            <a:gd name="connsiteY115" fmla="*/ 1068395 h 1399263"/>
            <a:gd name="connsiteX116" fmla="*/ 769178 w 1686574"/>
            <a:gd name="connsiteY116" fmla="*/ 1078421 h 1399263"/>
            <a:gd name="connsiteX117" fmla="*/ 779204 w 1686574"/>
            <a:gd name="connsiteY117" fmla="*/ 1088448 h 1399263"/>
            <a:gd name="connsiteX118" fmla="*/ 809283 w 1686574"/>
            <a:gd name="connsiteY118" fmla="*/ 1093461 h 1399263"/>
            <a:gd name="connsiteX119" fmla="*/ 889494 w 1686574"/>
            <a:gd name="connsiteY119" fmla="*/ 1108500 h 1399263"/>
            <a:gd name="connsiteX120" fmla="*/ 944639 w 1686574"/>
            <a:gd name="connsiteY120" fmla="*/ 1123540 h 1399263"/>
            <a:gd name="connsiteX121" fmla="*/ 964691 w 1686574"/>
            <a:gd name="connsiteY121" fmla="*/ 1128553 h 1399263"/>
            <a:gd name="connsiteX122" fmla="*/ 1004797 w 1686574"/>
            <a:gd name="connsiteY122" fmla="*/ 1148606 h 1399263"/>
            <a:gd name="connsiteX123" fmla="*/ 1004797 w 1686574"/>
            <a:gd name="connsiteY123" fmla="*/ 1148606 h 1399263"/>
            <a:gd name="connsiteX124" fmla="*/ 1034876 w 1686574"/>
            <a:gd name="connsiteY124" fmla="*/ 1168658 h 1399263"/>
            <a:gd name="connsiteX125" fmla="*/ 1049915 w 1686574"/>
            <a:gd name="connsiteY125" fmla="*/ 1178684 h 1399263"/>
            <a:gd name="connsiteX126" fmla="*/ 1064954 w 1686574"/>
            <a:gd name="connsiteY126" fmla="*/ 1183698 h 1399263"/>
            <a:gd name="connsiteX127" fmla="*/ 1090020 w 1686574"/>
            <a:gd name="connsiteY127" fmla="*/ 1203750 h 1399263"/>
            <a:gd name="connsiteX128" fmla="*/ 1105060 w 1686574"/>
            <a:gd name="connsiteY128" fmla="*/ 1208763 h 1399263"/>
            <a:gd name="connsiteX129" fmla="*/ 1115086 w 1686574"/>
            <a:gd name="connsiteY129" fmla="*/ 1218790 h 1399263"/>
            <a:gd name="connsiteX130" fmla="*/ 1130126 w 1686574"/>
            <a:gd name="connsiteY130" fmla="*/ 1223803 h 1399263"/>
            <a:gd name="connsiteX131" fmla="*/ 1150178 w 1686574"/>
            <a:gd name="connsiteY131" fmla="*/ 1233829 h 1399263"/>
            <a:gd name="connsiteX132" fmla="*/ 1160204 w 1686574"/>
            <a:gd name="connsiteY132" fmla="*/ 1243856 h 1399263"/>
            <a:gd name="connsiteX133" fmla="*/ 1190283 w 1686574"/>
            <a:gd name="connsiteY133" fmla="*/ 1253882 h 1399263"/>
            <a:gd name="connsiteX134" fmla="*/ 1240415 w 1686574"/>
            <a:gd name="connsiteY134" fmla="*/ 1263908 h 1399263"/>
            <a:gd name="connsiteX135" fmla="*/ 1255454 w 1686574"/>
            <a:gd name="connsiteY135" fmla="*/ 1268921 h 1399263"/>
            <a:gd name="connsiteX136" fmla="*/ 1265481 w 1686574"/>
            <a:gd name="connsiteY136" fmla="*/ 1278948 h 1399263"/>
            <a:gd name="connsiteX137" fmla="*/ 1285533 w 1686574"/>
            <a:gd name="connsiteY137" fmla="*/ 1283961 h 1399263"/>
            <a:gd name="connsiteX138" fmla="*/ 1300573 w 1686574"/>
            <a:gd name="connsiteY138" fmla="*/ 1288974 h 1399263"/>
            <a:gd name="connsiteX139" fmla="*/ 1335665 w 1686574"/>
            <a:gd name="connsiteY139" fmla="*/ 1309027 h 1399263"/>
            <a:gd name="connsiteX140" fmla="*/ 1350704 w 1686574"/>
            <a:gd name="connsiteY140" fmla="*/ 1314040 h 1399263"/>
            <a:gd name="connsiteX141" fmla="*/ 1390810 w 1686574"/>
            <a:gd name="connsiteY141" fmla="*/ 1329079 h 1399263"/>
            <a:gd name="connsiteX142" fmla="*/ 1420889 w 1686574"/>
            <a:gd name="connsiteY142" fmla="*/ 1339106 h 1399263"/>
            <a:gd name="connsiteX143" fmla="*/ 1435928 w 1686574"/>
            <a:gd name="connsiteY143" fmla="*/ 1344119 h 1399263"/>
            <a:gd name="connsiteX144" fmla="*/ 1450968 w 1686574"/>
            <a:gd name="connsiteY144" fmla="*/ 1354145 h 1399263"/>
            <a:gd name="connsiteX145" fmla="*/ 1471020 w 1686574"/>
            <a:gd name="connsiteY145" fmla="*/ 1359158 h 1399263"/>
            <a:gd name="connsiteX146" fmla="*/ 1501099 w 1686574"/>
            <a:gd name="connsiteY146" fmla="*/ 1369184 h 1399263"/>
            <a:gd name="connsiteX147" fmla="*/ 1541204 w 1686574"/>
            <a:gd name="connsiteY147" fmla="*/ 1389237 h 1399263"/>
            <a:gd name="connsiteX148" fmla="*/ 1556244 w 1686574"/>
            <a:gd name="connsiteY148" fmla="*/ 1394250 h 1399263"/>
            <a:gd name="connsiteX149" fmla="*/ 1571283 w 1686574"/>
            <a:gd name="connsiteY149" fmla="*/ 1399263 h 1399263"/>
            <a:gd name="connsiteX150" fmla="*/ 1586323 w 1686574"/>
            <a:gd name="connsiteY150" fmla="*/ 1394250 h 1399263"/>
            <a:gd name="connsiteX151" fmla="*/ 1601362 w 1686574"/>
            <a:gd name="connsiteY151" fmla="*/ 1384224 h 1399263"/>
            <a:gd name="connsiteX152" fmla="*/ 1616402 w 1686574"/>
            <a:gd name="connsiteY152" fmla="*/ 1389237 h 1399263"/>
            <a:gd name="connsiteX153" fmla="*/ 1676560 w 1686574"/>
            <a:gd name="connsiteY153" fmla="*/ 1394250 h 1399263"/>
            <a:gd name="connsiteX154" fmla="*/ 1676560 w 1686574"/>
            <a:gd name="connsiteY154" fmla="*/ 1253882 h 1399263"/>
            <a:gd name="connsiteX155" fmla="*/ 1666533 w 1686574"/>
            <a:gd name="connsiteY155" fmla="*/ 1208763 h 1399263"/>
            <a:gd name="connsiteX156" fmla="*/ 1656507 w 1686574"/>
            <a:gd name="connsiteY156" fmla="*/ 1193724 h 1399263"/>
            <a:gd name="connsiteX157" fmla="*/ 1651494 w 1686574"/>
            <a:gd name="connsiteY157" fmla="*/ 1138579 h 1399263"/>
            <a:gd name="connsiteX158" fmla="*/ 1646481 w 1686574"/>
            <a:gd name="connsiteY158" fmla="*/ 1058369 h 1399263"/>
            <a:gd name="connsiteX159" fmla="*/ 1636454 w 1686574"/>
            <a:gd name="connsiteY159" fmla="*/ 1028290 h 1399263"/>
            <a:gd name="connsiteX160" fmla="*/ 1626428 w 1686574"/>
            <a:gd name="connsiteY160" fmla="*/ 1018263 h 1399263"/>
            <a:gd name="connsiteX161" fmla="*/ 1611389 w 1686574"/>
            <a:gd name="connsiteY161" fmla="*/ 968132 h 1399263"/>
            <a:gd name="connsiteX162" fmla="*/ 1606376 w 1686574"/>
            <a:gd name="connsiteY162" fmla="*/ 822750 h 1399263"/>
            <a:gd name="connsiteX163" fmla="*/ 1606376 w 1686574"/>
            <a:gd name="connsiteY163" fmla="*/ 677369 h 1399263"/>
            <a:gd name="connsiteX164" fmla="*/ 1596349 w 1686574"/>
            <a:gd name="connsiteY164" fmla="*/ 632250 h 1399263"/>
            <a:gd name="connsiteX165" fmla="*/ 1586323 w 1686574"/>
            <a:gd name="connsiteY165" fmla="*/ 617211 h 1399263"/>
            <a:gd name="connsiteX166" fmla="*/ 1576297 w 1686574"/>
            <a:gd name="connsiteY166" fmla="*/ 537000 h 1399263"/>
            <a:gd name="connsiteX167" fmla="*/ 1571283 w 1686574"/>
            <a:gd name="connsiteY167" fmla="*/ 521961 h 1399263"/>
            <a:gd name="connsiteX168" fmla="*/ 1551231 w 1686574"/>
            <a:gd name="connsiteY168" fmla="*/ 471829 h 1399263"/>
            <a:gd name="connsiteX169" fmla="*/ 1541204 w 1686574"/>
            <a:gd name="connsiteY169" fmla="*/ 441750 h 1399263"/>
            <a:gd name="connsiteX170" fmla="*/ 1536191 w 1686574"/>
            <a:gd name="connsiteY170" fmla="*/ 426711 h 1399263"/>
            <a:gd name="connsiteX171" fmla="*/ 1531178 w 1686574"/>
            <a:gd name="connsiteY171" fmla="*/ 401645 h 1399263"/>
            <a:gd name="connsiteX172" fmla="*/ 1521152 w 1686574"/>
            <a:gd name="connsiteY172" fmla="*/ 341487 h 1399263"/>
            <a:gd name="connsiteX173" fmla="*/ 1511126 w 1686574"/>
            <a:gd name="connsiteY173" fmla="*/ 326448 h 1399263"/>
            <a:gd name="connsiteX174" fmla="*/ 1506112 w 1686574"/>
            <a:gd name="connsiteY174" fmla="*/ 311408 h 1399263"/>
            <a:gd name="connsiteX175" fmla="*/ 1501099 w 1686574"/>
            <a:gd name="connsiteY175" fmla="*/ 211145 h 1399263"/>
            <a:gd name="connsiteX176" fmla="*/ 1486060 w 1686574"/>
            <a:gd name="connsiteY176" fmla="*/ 201119 h 1399263"/>
            <a:gd name="connsiteX177" fmla="*/ 1491073 w 1686574"/>
            <a:gd name="connsiteY177" fmla="*/ 181066 h 1399263"/>
            <a:gd name="connsiteX178" fmla="*/ 1516139 w 1686574"/>
            <a:gd name="connsiteY178" fmla="*/ 166027 h 1399263"/>
            <a:gd name="connsiteX0" fmla="*/ 1516139 w 1686574"/>
            <a:gd name="connsiteY0" fmla="*/ 166027 h 1399263"/>
            <a:gd name="connsiteX1" fmla="*/ 1511126 w 1686574"/>
            <a:gd name="connsiteY1" fmla="*/ 135948 h 1399263"/>
            <a:gd name="connsiteX2" fmla="*/ 1471020 w 1686574"/>
            <a:gd name="connsiteY2" fmla="*/ 115895 h 1399263"/>
            <a:gd name="connsiteX3" fmla="*/ 1440941 w 1686574"/>
            <a:gd name="connsiteY3" fmla="*/ 105869 h 1399263"/>
            <a:gd name="connsiteX4" fmla="*/ 1425902 w 1686574"/>
            <a:gd name="connsiteY4" fmla="*/ 100856 h 1399263"/>
            <a:gd name="connsiteX5" fmla="*/ 1405849 w 1686574"/>
            <a:gd name="connsiteY5" fmla="*/ 95842 h 1399263"/>
            <a:gd name="connsiteX6" fmla="*/ 1375770 w 1686574"/>
            <a:gd name="connsiteY6" fmla="*/ 85816 h 1399263"/>
            <a:gd name="connsiteX7" fmla="*/ 1360731 w 1686574"/>
            <a:gd name="connsiteY7" fmla="*/ 80803 h 1399263"/>
            <a:gd name="connsiteX8" fmla="*/ 1350704 w 1686574"/>
            <a:gd name="connsiteY8" fmla="*/ 70777 h 1399263"/>
            <a:gd name="connsiteX9" fmla="*/ 1320626 w 1686574"/>
            <a:gd name="connsiteY9" fmla="*/ 60750 h 1399263"/>
            <a:gd name="connsiteX10" fmla="*/ 1295560 w 1686574"/>
            <a:gd name="connsiteY10" fmla="*/ 40698 h 1399263"/>
            <a:gd name="connsiteX11" fmla="*/ 1285533 w 1686574"/>
            <a:gd name="connsiteY11" fmla="*/ 30671 h 1399263"/>
            <a:gd name="connsiteX12" fmla="*/ 1265481 w 1686574"/>
            <a:gd name="connsiteY12" fmla="*/ 25658 h 1399263"/>
            <a:gd name="connsiteX13" fmla="*/ 1250441 w 1686574"/>
            <a:gd name="connsiteY13" fmla="*/ 20645 h 1399263"/>
            <a:gd name="connsiteX14" fmla="*/ 1235402 w 1686574"/>
            <a:gd name="connsiteY14" fmla="*/ 10619 h 1399263"/>
            <a:gd name="connsiteX15" fmla="*/ 1190283 w 1686574"/>
            <a:gd name="connsiteY15" fmla="*/ 5606 h 1399263"/>
            <a:gd name="connsiteX16" fmla="*/ 1175244 w 1686574"/>
            <a:gd name="connsiteY16" fmla="*/ 592 h 1399263"/>
            <a:gd name="connsiteX17" fmla="*/ 1140152 w 1686574"/>
            <a:gd name="connsiteY17" fmla="*/ 5606 h 1399263"/>
            <a:gd name="connsiteX18" fmla="*/ 1120099 w 1686574"/>
            <a:gd name="connsiteY18" fmla="*/ 10619 h 1399263"/>
            <a:gd name="connsiteX19" fmla="*/ 1090020 w 1686574"/>
            <a:gd name="connsiteY19" fmla="*/ 15632 h 1399263"/>
            <a:gd name="connsiteX20" fmla="*/ 1074981 w 1686574"/>
            <a:gd name="connsiteY20" fmla="*/ 20645 h 1399263"/>
            <a:gd name="connsiteX21" fmla="*/ 1064954 w 1686574"/>
            <a:gd name="connsiteY21" fmla="*/ 30671 h 1399263"/>
            <a:gd name="connsiteX22" fmla="*/ 1039889 w 1686574"/>
            <a:gd name="connsiteY22" fmla="*/ 35684 h 1399263"/>
            <a:gd name="connsiteX23" fmla="*/ 1009810 w 1686574"/>
            <a:gd name="connsiteY23" fmla="*/ 45711 h 1399263"/>
            <a:gd name="connsiteX24" fmla="*/ 989757 w 1686574"/>
            <a:gd name="connsiteY24" fmla="*/ 70777 h 1399263"/>
            <a:gd name="connsiteX25" fmla="*/ 999783 w 1686574"/>
            <a:gd name="connsiteY25" fmla="*/ 130934 h 1399263"/>
            <a:gd name="connsiteX26" fmla="*/ 1009810 w 1686574"/>
            <a:gd name="connsiteY26" fmla="*/ 140961 h 1399263"/>
            <a:gd name="connsiteX27" fmla="*/ 1007655 w 1686574"/>
            <a:gd name="connsiteY27" fmla="*/ 160763 h 1399263"/>
            <a:gd name="connsiteX28" fmla="*/ 1029862 w 1686574"/>
            <a:gd name="connsiteY28" fmla="*/ 181066 h 1399263"/>
            <a:gd name="connsiteX29" fmla="*/ 1024849 w 1686574"/>
            <a:gd name="connsiteY29" fmla="*/ 196106 h 1399263"/>
            <a:gd name="connsiteX30" fmla="*/ 1009810 w 1686574"/>
            <a:gd name="connsiteY30" fmla="*/ 201119 h 1399263"/>
            <a:gd name="connsiteX31" fmla="*/ 994770 w 1686574"/>
            <a:gd name="connsiteY31" fmla="*/ 211145 h 1399263"/>
            <a:gd name="connsiteX32" fmla="*/ 969704 w 1686574"/>
            <a:gd name="connsiteY32" fmla="*/ 236211 h 1399263"/>
            <a:gd name="connsiteX33" fmla="*/ 939626 w 1686574"/>
            <a:gd name="connsiteY33" fmla="*/ 256263 h 1399263"/>
            <a:gd name="connsiteX34" fmla="*/ 934612 w 1686574"/>
            <a:gd name="connsiteY34" fmla="*/ 271303 h 1399263"/>
            <a:gd name="connsiteX35" fmla="*/ 894507 w 1686574"/>
            <a:gd name="connsiteY35" fmla="*/ 256263 h 1399263"/>
            <a:gd name="connsiteX36" fmla="*/ 864428 w 1686574"/>
            <a:gd name="connsiteY36" fmla="*/ 246237 h 1399263"/>
            <a:gd name="connsiteX37" fmla="*/ 849389 w 1686574"/>
            <a:gd name="connsiteY37" fmla="*/ 241224 h 1399263"/>
            <a:gd name="connsiteX38" fmla="*/ 834349 w 1686574"/>
            <a:gd name="connsiteY38" fmla="*/ 236211 h 1399263"/>
            <a:gd name="connsiteX39" fmla="*/ 799257 w 1686574"/>
            <a:gd name="connsiteY39" fmla="*/ 221171 h 1399263"/>
            <a:gd name="connsiteX40" fmla="*/ 749126 w 1686574"/>
            <a:gd name="connsiteY40" fmla="*/ 206132 h 1399263"/>
            <a:gd name="connsiteX41" fmla="*/ 739099 w 1686574"/>
            <a:gd name="connsiteY41" fmla="*/ 196106 h 1399263"/>
            <a:gd name="connsiteX42" fmla="*/ 709020 w 1686574"/>
            <a:gd name="connsiteY42" fmla="*/ 186079 h 1399263"/>
            <a:gd name="connsiteX43" fmla="*/ 643849 w 1686574"/>
            <a:gd name="connsiteY43" fmla="*/ 176053 h 1399263"/>
            <a:gd name="connsiteX44" fmla="*/ 618783 w 1686574"/>
            <a:gd name="connsiteY44" fmla="*/ 161013 h 1399263"/>
            <a:gd name="connsiteX45" fmla="*/ 603744 w 1686574"/>
            <a:gd name="connsiteY45" fmla="*/ 156000 h 1399263"/>
            <a:gd name="connsiteX46" fmla="*/ 588704 w 1686574"/>
            <a:gd name="connsiteY46" fmla="*/ 145974 h 1399263"/>
            <a:gd name="connsiteX47" fmla="*/ 583691 w 1686574"/>
            <a:gd name="connsiteY47" fmla="*/ 130934 h 1399263"/>
            <a:gd name="connsiteX48" fmla="*/ 538573 w 1686574"/>
            <a:gd name="connsiteY48" fmla="*/ 75790 h 1399263"/>
            <a:gd name="connsiteX49" fmla="*/ 508494 w 1686574"/>
            <a:gd name="connsiteY49" fmla="*/ 65763 h 1399263"/>
            <a:gd name="connsiteX50" fmla="*/ 453349 w 1686574"/>
            <a:gd name="connsiteY50" fmla="*/ 50724 h 1399263"/>
            <a:gd name="connsiteX51" fmla="*/ 393191 w 1686574"/>
            <a:gd name="connsiteY51" fmla="*/ 30671 h 1399263"/>
            <a:gd name="connsiteX52" fmla="*/ 363112 w 1686574"/>
            <a:gd name="connsiteY52" fmla="*/ 20645 h 1399263"/>
            <a:gd name="connsiteX53" fmla="*/ 328020 w 1686574"/>
            <a:gd name="connsiteY53" fmla="*/ 15632 h 1399263"/>
            <a:gd name="connsiteX54" fmla="*/ 287915 w 1686574"/>
            <a:gd name="connsiteY54" fmla="*/ 10619 h 1399263"/>
            <a:gd name="connsiteX55" fmla="*/ 217731 w 1686574"/>
            <a:gd name="connsiteY55" fmla="*/ 592 h 1399263"/>
            <a:gd name="connsiteX56" fmla="*/ 162586 w 1686574"/>
            <a:gd name="connsiteY56" fmla="*/ 20645 h 1399263"/>
            <a:gd name="connsiteX57" fmla="*/ 167599 w 1686574"/>
            <a:gd name="connsiteY57" fmla="*/ 35684 h 1399263"/>
            <a:gd name="connsiteX58" fmla="*/ 147547 w 1686574"/>
            <a:gd name="connsiteY58" fmla="*/ 95842 h 1399263"/>
            <a:gd name="connsiteX59" fmla="*/ 132507 w 1686574"/>
            <a:gd name="connsiteY59" fmla="*/ 100856 h 1399263"/>
            <a:gd name="connsiteX60" fmla="*/ 107441 w 1686574"/>
            <a:gd name="connsiteY60" fmla="*/ 125921 h 1399263"/>
            <a:gd name="connsiteX61" fmla="*/ 82376 w 1686574"/>
            <a:gd name="connsiteY61" fmla="*/ 140961 h 1399263"/>
            <a:gd name="connsiteX62" fmla="*/ 57310 w 1686574"/>
            <a:gd name="connsiteY62" fmla="*/ 161013 h 1399263"/>
            <a:gd name="connsiteX63" fmla="*/ 42270 w 1686574"/>
            <a:gd name="connsiteY63" fmla="*/ 166027 h 1399263"/>
            <a:gd name="connsiteX64" fmla="*/ 42737 w 1686574"/>
            <a:gd name="connsiteY64" fmla="*/ 186079 h 1399263"/>
            <a:gd name="connsiteX65" fmla="*/ 47283 w 1686574"/>
            <a:gd name="connsiteY65" fmla="*/ 256263 h 1399263"/>
            <a:gd name="connsiteX66" fmla="*/ 17204 w 1686574"/>
            <a:gd name="connsiteY66" fmla="*/ 266290 h 1399263"/>
            <a:gd name="connsiteX67" fmla="*/ 9 w 1686574"/>
            <a:gd name="connsiteY67" fmla="*/ 274185 h 1399263"/>
            <a:gd name="connsiteX68" fmla="*/ 14814 w 1686574"/>
            <a:gd name="connsiteY68" fmla="*/ 310657 h 1399263"/>
            <a:gd name="connsiteX69" fmla="*/ 32244 w 1686574"/>
            <a:gd name="connsiteY69" fmla="*/ 341487 h 1399263"/>
            <a:gd name="connsiteX70" fmla="*/ 37257 w 1686574"/>
            <a:gd name="connsiteY70" fmla="*/ 356527 h 1399263"/>
            <a:gd name="connsiteX71" fmla="*/ 42270 w 1686574"/>
            <a:gd name="connsiteY71" fmla="*/ 371566 h 1399263"/>
            <a:gd name="connsiteX72" fmla="*/ 47283 w 1686574"/>
            <a:gd name="connsiteY72" fmla="*/ 406658 h 1399263"/>
            <a:gd name="connsiteX73" fmla="*/ 52297 w 1686574"/>
            <a:gd name="connsiteY73" fmla="*/ 421698 h 1399263"/>
            <a:gd name="connsiteX74" fmla="*/ 42270 w 1686574"/>
            <a:gd name="connsiteY74" fmla="*/ 557053 h 1399263"/>
            <a:gd name="connsiteX75" fmla="*/ 37257 w 1686574"/>
            <a:gd name="connsiteY75" fmla="*/ 617211 h 1399263"/>
            <a:gd name="connsiteX76" fmla="*/ 47283 w 1686574"/>
            <a:gd name="connsiteY76" fmla="*/ 647290 h 1399263"/>
            <a:gd name="connsiteX77" fmla="*/ 52297 w 1686574"/>
            <a:gd name="connsiteY77" fmla="*/ 662329 h 1399263"/>
            <a:gd name="connsiteX78" fmla="*/ 42270 w 1686574"/>
            <a:gd name="connsiteY78" fmla="*/ 707448 h 1399263"/>
            <a:gd name="connsiteX79" fmla="*/ 17204 w 1686574"/>
            <a:gd name="connsiteY79" fmla="*/ 752566 h 1399263"/>
            <a:gd name="connsiteX80" fmla="*/ 37257 w 1686574"/>
            <a:gd name="connsiteY80" fmla="*/ 772619 h 1399263"/>
            <a:gd name="connsiteX81" fmla="*/ 42270 w 1686574"/>
            <a:gd name="connsiteY81" fmla="*/ 787658 h 1399263"/>
            <a:gd name="connsiteX82" fmla="*/ 62323 w 1686574"/>
            <a:gd name="connsiteY82" fmla="*/ 807711 h 1399263"/>
            <a:gd name="connsiteX83" fmla="*/ 67336 w 1686574"/>
            <a:gd name="connsiteY83" fmla="*/ 822750 h 1399263"/>
            <a:gd name="connsiteX84" fmla="*/ 77362 w 1686574"/>
            <a:gd name="connsiteY84" fmla="*/ 832777 h 1399263"/>
            <a:gd name="connsiteX85" fmla="*/ 87389 w 1686574"/>
            <a:gd name="connsiteY85" fmla="*/ 862856 h 1399263"/>
            <a:gd name="connsiteX86" fmla="*/ 97415 w 1686574"/>
            <a:gd name="connsiteY86" fmla="*/ 877895 h 1399263"/>
            <a:gd name="connsiteX87" fmla="*/ 107441 w 1686574"/>
            <a:gd name="connsiteY87" fmla="*/ 907974 h 1399263"/>
            <a:gd name="connsiteX88" fmla="*/ 112454 w 1686574"/>
            <a:gd name="connsiteY88" fmla="*/ 923013 h 1399263"/>
            <a:gd name="connsiteX89" fmla="*/ 142533 w 1686574"/>
            <a:gd name="connsiteY89" fmla="*/ 933040 h 1399263"/>
            <a:gd name="connsiteX90" fmla="*/ 157573 w 1686574"/>
            <a:gd name="connsiteY90" fmla="*/ 938053 h 1399263"/>
            <a:gd name="connsiteX91" fmla="*/ 197678 w 1686574"/>
            <a:gd name="connsiteY91" fmla="*/ 943066 h 1399263"/>
            <a:gd name="connsiteX92" fmla="*/ 227757 w 1686574"/>
            <a:gd name="connsiteY92" fmla="*/ 953092 h 1399263"/>
            <a:gd name="connsiteX93" fmla="*/ 242797 w 1686574"/>
            <a:gd name="connsiteY93" fmla="*/ 958106 h 1399263"/>
            <a:gd name="connsiteX94" fmla="*/ 257836 w 1686574"/>
            <a:gd name="connsiteY94" fmla="*/ 968132 h 1399263"/>
            <a:gd name="connsiteX95" fmla="*/ 277889 w 1686574"/>
            <a:gd name="connsiteY95" fmla="*/ 993198 h 1399263"/>
            <a:gd name="connsiteX96" fmla="*/ 292928 w 1686574"/>
            <a:gd name="connsiteY96" fmla="*/ 1003224 h 1399263"/>
            <a:gd name="connsiteX97" fmla="*/ 302954 w 1686574"/>
            <a:gd name="connsiteY97" fmla="*/ 1018263 h 1399263"/>
            <a:gd name="connsiteX98" fmla="*/ 333033 w 1686574"/>
            <a:gd name="connsiteY98" fmla="*/ 1028290 h 1399263"/>
            <a:gd name="connsiteX99" fmla="*/ 408231 w 1686574"/>
            <a:gd name="connsiteY99" fmla="*/ 1038316 h 1399263"/>
            <a:gd name="connsiteX100" fmla="*/ 438310 w 1686574"/>
            <a:gd name="connsiteY100" fmla="*/ 1048342 h 1399263"/>
            <a:gd name="connsiteX101" fmla="*/ 453349 w 1686574"/>
            <a:gd name="connsiteY101" fmla="*/ 1053356 h 1399263"/>
            <a:gd name="connsiteX102" fmla="*/ 483428 w 1686574"/>
            <a:gd name="connsiteY102" fmla="*/ 1068395 h 1399263"/>
            <a:gd name="connsiteX103" fmla="*/ 493454 w 1686574"/>
            <a:gd name="connsiteY103" fmla="*/ 1083434 h 1399263"/>
            <a:gd name="connsiteX104" fmla="*/ 523533 w 1686574"/>
            <a:gd name="connsiteY104" fmla="*/ 1093461 h 1399263"/>
            <a:gd name="connsiteX105" fmla="*/ 548599 w 1686574"/>
            <a:gd name="connsiteY105" fmla="*/ 1113513 h 1399263"/>
            <a:gd name="connsiteX106" fmla="*/ 583691 w 1686574"/>
            <a:gd name="connsiteY106" fmla="*/ 1108500 h 1399263"/>
            <a:gd name="connsiteX107" fmla="*/ 613770 w 1686574"/>
            <a:gd name="connsiteY107" fmla="*/ 1093461 h 1399263"/>
            <a:gd name="connsiteX108" fmla="*/ 663902 w 1686574"/>
            <a:gd name="connsiteY108" fmla="*/ 1078421 h 1399263"/>
            <a:gd name="connsiteX109" fmla="*/ 678941 w 1686574"/>
            <a:gd name="connsiteY109" fmla="*/ 1073408 h 1399263"/>
            <a:gd name="connsiteX110" fmla="*/ 688968 w 1686574"/>
            <a:gd name="connsiteY110" fmla="*/ 1063382 h 1399263"/>
            <a:gd name="connsiteX111" fmla="*/ 698994 w 1686574"/>
            <a:gd name="connsiteY111" fmla="*/ 1048342 h 1399263"/>
            <a:gd name="connsiteX112" fmla="*/ 714033 w 1686574"/>
            <a:gd name="connsiteY112" fmla="*/ 1043329 h 1399263"/>
            <a:gd name="connsiteX113" fmla="*/ 729073 w 1686574"/>
            <a:gd name="connsiteY113" fmla="*/ 1053356 h 1399263"/>
            <a:gd name="connsiteX114" fmla="*/ 744112 w 1686574"/>
            <a:gd name="connsiteY114" fmla="*/ 1058369 h 1399263"/>
            <a:gd name="connsiteX115" fmla="*/ 754139 w 1686574"/>
            <a:gd name="connsiteY115" fmla="*/ 1068395 h 1399263"/>
            <a:gd name="connsiteX116" fmla="*/ 769178 w 1686574"/>
            <a:gd name="connsiteY116" fmla="*/ 1078421 h 1399263"/>
            <a:gd name="connsiteX117" fmla="*/ 779204 w 1686574"/>
            <a:gd name="connsiteY117" fmla="*/ 1088448 h 1399263"/>
            <a:gd name="connsiteX118" fmla="*/ 809283 w 1686574"/>
            <a:gd name="connsiteY118" fmla="*/ 1093461 h 1399263"/>
            <a:gd name="connsiteX119" fmla="*/ 889494 w 1686574"/>
            <a:gd name="connsiteY119" fmla="*/ 1108500 h 1399263"/>
            <a:gd name="connsiteX120" fmla="*/ 944639 w 1686574"/>
            <a:gd name="connsiteY120" fmla="*/ 1123540 h 1399263"/>
            <a:gd name="connsiteX121" fmla="*/ 964691 w 1686574"/>
            <a:gd name="connsiteY121" fmla="*/ 1128553 h 1399263"/>
            <a:gd name="connsiteX122" fmla="*/ 1004797 w 1686574"/>
            <a:gd name="connsiteY122" fmla="*/ 1148606 h 1399263"/>
            <a:gd name="connsiteX123" fmla="*/ 1004797 w 1686574"/>
            <a:gd name="connsiteY123" fmla="*/ 1148606 h 1399263"/>
            <a:gd name="connsiteX124" fmla="*/ 1034876 w 1686574"/>
            <a:gd name="connsiteY124" fmla="*/ 1168658 h 1399263"/>
            <a:gd name="connsiteX125" fmla="*/ 1049915 w 1686574"/>
            <a:gd name="connsiteY125" fmla="*/ 1178684 h 1399263"/>
            <a:gd name="connsiteX126" fmla="*/ 1064954 w 1686574"/>
            <a:gd name="connsiteY126" fmla="*/ 1183698 h 1399263"/>
            <a:gd name="connsiteX127" fmla="*/ 1090020 w 1686574"/>
            <a:gd name="connsiteY127" fmla="*/ 1203750 h 1399263"/>
            <a:gd name="connsiteX128" fmla="*/ 1105060 w 1686574"/>
            <a:gd name="connsiteY128" fmla="*/ 1208763 h 1399263"/>
            <a:gd name="connsiteX129" fmla="*/ 1115086 w 1686574"/>
            <a:gd name="connsiteY129" fmla="*/ 1218790 h 1399263"/>
            <a:gd name="connsiteX130" fmla="*/ 1130126 w 1686574"/>
            <a:gd name="connsiteY130" fmla="*/ 1223803 h 1399263"/>
            <a:gd name="connsiteX131" fmla="*/ 1150178 w 1686574"/>
            <a:gd name="connsiteY131" fmla="*/ 1233829 h 1399263"/>
            <a:gd name="connsiteX132" fmla="*/ 1160204 w 1686574"/>
            <a:gd name="connsiteY132" fmla="*/ 1243856 h 1399263"/>
            <a:gd name="connsiteX133" fmla="*/ 1190283 w 1686574"/>
            <a:gd name="connsiteY133" fmla="*/ 1253882 h 1399263"/>
            <a:gd name="connsiteX134" fmla="*/ 1240415 w 1686574"/>
            <a:gd name="connsiteY134" fmla="*/ 1263908 h 1399263"/>
            <a:gd name="connsiteX135" fmla="*/ 1255454 w 1686574"/>
            <a:gd name="connsiteY135" fmla="*/ 1268921 h 1399263"/>
            <a:gd name="connsiteX136" fmla="*/ 1265481 w 1686574"/>
            <a:gd name="connsiteY136" fmla="*/ 1278948 h 1399263"/>
            <a:gd name="connsiteX137" fmla="*/ 1285533 w 1686574"/>
            <a:gd name="connsiteY137" fmla="*/ 1283961 h 1399263"/>
            <a:gd name="connsiteX138" fmla="*/ 1300573 w 1686574"/>
            <a:gd name="connsiteY138" fmla="*/ 1288974 h 1399263"/>
            <a:gd name="connsiteX139" fmla="*/ 1335665 w 1686574"/>
            <a:gd name="connsiteY139" fmla="*/ 1309027 h 1399263"/>
            <a:gd name="connsiteX140" fmla="*/ 1350704 w 1686574"/>
            <a:gd name="connsiteY140" fmla="*/ 1314040 h 1399263"/>
            <a:gd name="connsiteX141" fmla="*/ 1390810 w 1686574"/>
            <a:gd name="connsiteY141" fmla="*/ 1329079 h 1399263"/>
            <a:gd name="connsiteX142" fmla="*/ 1420889 w 1686574"/>
            <a:gd name="connsiteY142" fmla="*/ 1339106 h 1399263"/>
            <a:gd name="connsiteX143" fmla="*/ 1435928 w 1686574"/>
            <a:gd name="connsiteY143" fmla="*/ 1344119 h 1399263"/>
            <a:gd name="connsiteX144" fmla="*/ 1450968 w 1686574"/>
            <a:gd name="connsiteY144" fmla="*/ 1354145 h 1399263"/>
            <a:gd name="connsiteX145" fmla="*/ 1471020 w 1686574"/>
            <a:gd name="connsiteY145" fmla="*/ 1359158 h 1399263"/>
            <a:gd name="connsiteX146" fmla="*/ 1501099 w 1686574"/>
            <a:gd name="connsiteY146" fmla="*/ 1369184 h 1399263"/>
            <a:gd name="connsiteX147" fmla="*/ 1541204 w 1686574"/>
            <a:gd name="connsiteY147" fmla="*/ 1389237 h 1399263"/>
            <a:gd name="connsiteX148" fmla="*/ 1556244 w 1686574"/>
            <a:gd name="connsiteY148" fmla="*/ 1394250 h 1399263"/>
            <a:gd name="connsiteX149" fmla="*/ 1571283 w 1686574"/>
            <a:gd name="connsiteY149" fmla="*/ 1399263 h 1399263"/>
            <a:gd name="connsiteX150" fmla="*/ 1586323 w 1686574"/>
            <a:gd name="connsiteY150" fmla="*/ 1394250 h 1399263"/>
            <a:gd name="connsiteX151" fmla="*/ 1601362 w 1686574"/>
            <a:gd name="connsiteY151" fmla="*/ 1384224 h 1399263"/>
            <a:gd name="connsiteX152" fmla="*/ 1616402 w 1686574"/>
            <a:gd name="connsiteY152" fmla="*/ 1389237 h 1399263"/>
            <a:gd name="connsiteX153" fmla="*/ 1676560 w 1686574"/>
            <a:gd name="connsiteY153" fmla="*/ 1394250 h 1399263"/>
            <a:gd name="connsiteX154" fmla="*/ 1676560 w 1686574"/>
            <a:gd name="connsiteY154" fmla="*/ 1253882 h 1399263"/>
            <a:gd name="connsiteX155" fmla="*/ 1666533 w 1686574"/>
            <a:gd name="connsiteY155" fmla="*/ 1208763 h 1399263"/>
            <a:gd name="connsiteX156" fmla="*/ 1656507 w 1686574"/>
            <a:gd name="connsiteY156" fmla="*/ 1193724 h 1399263"/>
            <a:gd name="connsiteX157" fmla="*/ 1651494 w 1686574"/>
            <a:gd name="connsiteY157" fmla="*/ 1138579 h 1399263"/>
            <a:gd name="connsiteX158" fmla="*/ 1646481 w 1686574"/>
            <a:gd name="connsiteY158" fmla="*/ 1058369 h 1399263"/>
            <a:gd name="connsiteX159" fmla="*/ 1636454 w 1686574"/>
            <a:gd name="connsiteY159" fmla="*/ 1028290 h 1399263"/>
            <a:gd name="connsiteX160" fmla="*/ 1626428 w 1686574"/>
            <a:gd name="connsiteY160" fmla="*/ 1018263 h 1399263"/>
            <a:gd name="connsiteX161" fmla="*/ 1611389 w 1686574"/>
            <a:gd name="connsiteY161" fmla="*/ 968132 h 1399263"/>
            <a:gd name="connsiteX162" fmla="*/ 1606376 w 1686574"/>
            <a:gd name="connsiteY162" fmla="*/ 822750 h 1399263"/>
            <a:gd name="connsiteX163" fmla="*/ 1606376 w 1686574"/>
            <a:gd name="connsiteY163" fmla="*/ 677369 h 1399263"/>
            <a:gd name="connsiteX164" fmla="*/ 1596349 w 1686574"/>
            <a:gd name="connsiteY164" fmla="*/ 632250 h 1399263"/>
            <a:gd name="connsiteX165" fmla="*/ 1586323 w 1686574"/>
            <a:gd name="connsiteY165" fmla="*/ 617211 h 1399263"/>
            <a:gd name="connsiteX166" fmla="*/ 1576297 w 1686574"/>
            <a:gd name="connsiteY166" fmla="*/ 537000 h 1399263"/>
            <a:gd name="connsiteX167" fmla="*/ 1571283 w 1686574"/>
            <a:gd name="connsiteY167" fmla="*/ 521961 h 1399263"/>
            <a:gd name="connsiteX168" fmla="*/ 1551231 w 1686574"/>
            <a:gd name="connsiteY168" fmla="*/ 471829 h 1399263"/>
            <a:gd name="connsiteX169" fmla="*/ 1541204 w 1686574"/>
            <a:gd name="connsiteY169" fmla="*/ 441750 h 1399263"/>
            <a:gd name="connsiteX170" fmla="*/ 1536191 w 1686574"/>
            <a:gd name="connsiteY170" fmla="*/ 426711 h 1399263"/>
            <a:gd name="connsiteX171" fmla="*/ 1531178 w 1686574"/>
            <a:gd name="connsiteY171" fmla="*/ 401645 h 1399263"/>
            <a:gd name="connsiteX172" fmla="*/ 1521152 w 1686574"/>
            <a:gd name="connsiteY172" fmla="*/ 341487 h 1399263"/>
            <a:gd name="connsiteX173" fmla="*/ 1511126 w 1686574"/>
            <a:gd name="connsiteY173" fmla="*/ 326448 h 1399263"/>
            <a:gd name="connsiteX174" fmla="*/ 1506112 w 1686574"/>
            <a:gd name="connsiteY174" fmla="*/ 311408 h 1399263"/>
            <a:gd name="connsiteX175" fmla="*/ 1501099 w 1686574"/>
            <a:gd name="connsiteY175" fmla="*/ 211145 h 1399263"/>
            <a:gd name="connsiteX176" fmla="*/ 1486060 w 1686574"/>
            <a:gd name="connsiteY176" fmla="*/ 201119 h 1399263"/>
            <a:gd name="connsiteX177" fmla="*/ 1491073 w 1686574"/>
            <a:gd name="connsiteY177" fmla="*/ 181066 h 1399263"/>
            <a:gd name="connsiteX178" fmla="*/ 1516139 w 1686574"/>
            <a:gd name="connsiteY178" fmla="*/ 166027 h 1399263"/>
            <a:gd name="connsiteX0" fmla="*/ 1516139 w 1686574"/>
            <a:gd name="connsiteY0" fmla="*/ 166027 h 1399263"/>
            <a:gd name="connsiteX1" fmla="*/ 1511126 w 1686574"/>
            <a:gd name="connsiteY1" fmla="*/ 135948 h 1399263"/>
            <a:gd name="connsiteX2" fmla="*/ 1471020 w 1686574"/>
            <a:gd name="connsiteY2" fmla="*/ 115895 h 1399263"/>
            <a:gd name="connsiteX3" fmla="*/ 1440941 w 1686574"/>
            <a:gd name="connsiteY3" fmla="*/ 105869 h 1399263"/>
            <a:gd name="connsiteX4" fmla="*/ 1425902 w 1686574"/>
            <a:gd name="connsiteY4" fmla="*/ 100856 h 1399263"/>
            <a:gd name="connsiteX5" fmla="*/ 1405849 w 1686574"/>
            <a:gd name="connsiteY5" fmla="*/ 95842 h 1399263"/>
            <a:gd name="connsiteX6" fmla="*/ 1375770 w 1686574"/>
            <a:gd name="connsiteY6" fmla="*/ 85816 h 1399263"/>
            <a:gd name="connsiteX7" fmla="*/ 1360731 w 1686574"/>
            <a:gd name="connsiteY7" fmla="*/ 80803 h 1399263"/>
            <a:gd name="connsiteX8" fmla="*/ 1350704 w 1686574"/>
            <a:gd name="connsiteY8" fmla="*/ 70777 h 1399263"/>
            <a:gd name="connsiteX9" fmla="*/ 1320626 w 1686574"/>
            <a:gd name="connsiteY9" fmla="*/ 60750 h 1399263"/>
            <a:gd name="connsiteX10" fmla="*/ 1295560 w 1686574"/>
            <a:gd name="connsiteY10" fmla="*/ 40698 h 1399263"/>
            <a:gd name="connsiteX11" fmla="*/ 1285533 w 1686574"/>
            <a:gd name="connsiteY11" fmla="*/ 30671 h 1399263"/>
            <a:gd name="connsiteX12" fmla="*/ 1265481 w 1686574"/>
            <a:gd name="connsiteY12" fmla="*/ 25658 h 1399263"/>
            <a:gd name="connsiteX13" fmla="*/ 1250441 w 1686574"/>
            <a:gd name="connsiteY13" fmla="*/ 20645 h 1399263"/>
            <a:gd name="connsiteX14" fmla="*/ 1235402 w 1686574"/>
            <a:gd name="connsiteY14" fmla="*/ 10619 h 1399263"/>
            <a:gd name="connsiteX15" fmla="*/ 1190283 w 1686574"/>
            <a:gd name="connsiteY15" fmla="*/ 5606 h 1399263"/>
            <a:gd name="connsiteX16" fmla="*/ 1175244 w 1686574"/>
            <a:gd name="connsiteY16" fmla="*/ 592 h 1399263"/>
            <a:gd name="connsiteX17" fmla="*/ 1140152 w 1686574"/>
            <a:gd name="connsiteY17" fmla="*/ 5606 h 1399263"/>
            <a:gd name="connsiteX18" fmla="*/ 1120099 w 1686574"/>
            <a:gd name="connsiteY18" fmla="*/ 10619 h 1399263"/>
            <a:gd name="connsiteX19" fmla="*/ 1090020 w 1686574"/>
            <a:gd name="connsiteY19" fmla="*/ 15632 h 1399263"/>
            <a:gd name="connsiteX20" fmla="*/ 1074981 w 1686574"/>
            <a:gd name="connsiteY20" fmla="*/ 20645 h 1399263"/>
            <a:gd name="connsiteX21" fmla="*/ 1064954 w 1686574"/>
            <a:gd name="connsiteY21" fmla="*/ 30671 h 1399263"/>
            <a:gd name="connsiteX22" fmla="*/ 1039889 w 1686574"/>
            <a:gd name="connsiteY22" fmla="*/ 35684 h 1399263"/>
            <a:gd name="connsiteX23" fmla="*/ 1009810 w 1686574"/>
            <a:gd name="connsiteY23" fmla="*/ 45711 h 1399263"/>
            <a:gd name="connsiteX24" fmla="*/ 989757 w 1686574"/>
            <a:gd name="connsiteY24" fmla="*/ 70777 h 1399263"/>
            <a:gd name="connsiteX25" fmla="*/ 999783 w 1686574"/>
            <a:gd name="connsiteY25" fmla="*/ 130934 h 1399263"/>
            <a:gd name="connsiteX26" fmla="*/ 1009810 w 1686574"/>
            <a:gd name="connsiteY26" fmla="*/ 140961 h 1399263"/>
            <a:gd name="connsiteX27" fmla="*/ 1007655 w 1686574"/>
            <a:gd name="connsiteY27" fmla="*/ 160763 h 1399263"/>
            <a:gd name="connsiteX28" fmla="*/ 1025082 w 1686574"/>
            <a:gd name="connsiteY28" fmla="*/ 190591 h 1399263"/>
            <a:gd name="connsiteX29" fmla="*/ 1024849 w 1686574"/>
            <a:gd name="connsiteY29" fmla="*/ 196106 h 1399263"/>
            <a:gd name="connsiteX30" fmla="*/ 1009810 w 1686574"/>
            <a:gd name="connsiteY30" fmla="*/ 201119 h 1399263"/>
            <a:gd name="connsiteX31" fmla="*/ 994770 w 1686574"/>
            <a:gd name="connsiteY31" fmla="*/ 211145 h 1399263"/>
            <a:gd name="connsiteX32" fmla="*/ 969704 w 1686574"/>
            <a:gd name="connsiteY32" fmla="*/ 236211 h 1399263"/>
            <a:gd name="connsiteX33" fmla="*/ 939626 w 1686574"/>
            <a:gd name="connsiteY33" fmla="*/ 256263 h 1399263"/>
            <a:gd name="connsiteX34" fmla="*/ 934612 w 1686574"/>
            <a:gd name="connsiteY34" fmla="*/ 271303 h 1399263"/>
            <a:gd name="connsiteX35" fmla="*/ 894507 w 1686574"/>
            <a:gd name="connsiteY35" fmla="*/ 256263 h 1399263"/>
            <a:gd name="connsiteX36" fmla="*/ 864428 w 1686574"/>
            <a:gd name="connsiteY36" fmla="*/ 246237 h 1399263"/>
            <a:gd name="connsiteX37" fmla="*/ 849389 w 1686574"/>
            <a:gd name="connsiteY37" fmla="*/ 241224 h 1399263"/>
            <a:gd name="connsiteX38" fmla="*/ 834349 w 1686574"/>
            <a:gd name="connsiteY38" fmla="*/ 236211 h 1399263"/>
            <a:gd name="connsiteX39" fmla="*/ 799257 w 1686574"/>
            <a:gd name="connsiteY39" fmla="*/ 221171 h 1399263"/>
            <a:gd name="connsiteX40" fmla="*/ 749126 w 1686574"/>
            <a:gd name="connsiteY40" fmla="*/ 206132 h 1399263"/>
            <a:gd name="connsiteX41" fmla="*/ 739099 w 1686574"/>
            <a:gd name="connsiteY41" fmla="*/ 196106 h 1399263"/>
            <a:gd name="connsiteX42" fmla="*/ 709020 w 1686574"/>
            <a:gd name="connsiteY42" fmla="*/ 186079 h 1399263"/>
            <a:gd name="connsiteX43" fmla="*/ 643849 w 1686574"/>
            <a:gd name="connsiteY43" fmla="*/ 176053 h 1399263"/>
            <a:gd name="connsiteX44" fmla="*/ 618783 w 1686574"/>
            <a:gd name="connsiteY44" fmla="*/ 161013 h 1399263"/>
            <a:gd name="connsiteX45" fmla="*/ 603744 w 1686574"/>
            <a:gd name="connsiteY45" fmla="*/ 156000 h 1399263"/>
            <a:gd name="connsiteX46" fmla="*/ 588704 w 1686574"/>
            <a:gd name="connsiteY46" fmla="*/ 145974 h 1399263"/>
            <a:gd name="connsiteX47" fmla="*/ 583691 w 1686574"/>
            <a:gd name="connsiteY47" fmla="*/ 130934 h 1399263"/>
            <a:gd name="connsiteX48" fmla="*/ 538573 w 1686574"/>
            <a:gd name="connsiteY48" fmla="*/ 75790 h 1399263"/>
            <a:gd name="connsiteX49" fmla="*/ 508494 w 1686574"/>
            <a:gd name="connsiteY49" fmla="*/ 65763 h 1399263"/>
            <a:gd name="connsiteX50" fmla="*/ 453349 w 1686574"/>
            <a:gd name="connsiteY50" fmla="*/ 50724 h 1399263"/>
            <a:gd name="connsiteX51" fmla="*/ 393191 w 1686574"/>
            <a:gd name="connsiteY51" fmla="*/ 30671 h 1399263"/>
            <a:gd name="connsiteX52" fmla="*/ 363112 w 1686574"/>
            <a:gd name="connsiteY52" fmla="*/ 20645 h 1399263"/>
            <a:gd name="connsiteX53" fmla="*/ 328020 w 1686574"/>
            <a:gd name="connsiteY53" fmla="*/ 15632 h 1399263"/>
            <a:gd name="connsiteX54" fmla="*/ 287915 w 1686574"/>
            <a:gd name="connsiteY54" fmla="*/ 10619 h 1399263"/>
            <a:gd name="connsiteX55" fmla="*/ 217731 w 1686574"/>
            <a:gd name="connsiteY55" fmla="*/ 592 h 1399263"/>
            <a:gd name="connsiteX56" fmla="*/ 162586 w 1686574"/>
            <a:gd name="connsiteY56" fmla="*/ 20645 h 1399263"/>
            <a:gd name="connsiteX57" fmla="*/ 167599 w 1686574"/>
            <a:gd name="connsiteY57" fmla="*/ 35684 h 1399263"/>
            <a:gd name="connsiteX58" fmla="*/ 147547 w 1686574"/>
            <a:gd name="connsiteY58" fmla="*/ 95842 h 1399263"/>
            <a:gd name="connsiteX59" fmla="*/ 132507 w 1686574"/>
            <a:gd name="connsiteY59" fmla="*/ 100856 h 1399263"/>
            <a:gd name="connsiteX60" fmla="*/ 107441 w 1686574"/>
            <a:gd name="connsiteY60" fmla="*/ 125921 h 1399263"/>
            <a:gd name="connsiteX61" fmla="*/ 82376 w 1686574"/>
            <a:gd name="connsiteY61" fmla="*/ 140961 h 1399263"/>
            <a:gd name="connsiteX62" fmla="*/ 57310 w 1686574"/>
            <a:gd name="connsiteY62" fmla="*/ 161013 h 1399263"/>
            <a:gd name="connsiteX63" fmla="*/ 42270 w 1686574"/>
            <a:gd name="connsiteY63" fmla="*/ 166027 h 1399263"/>
            <a:gd name="connsiteX64" fmla="*/ 42737 w 1686574"/>
            <a:gd name="connsiteY64" fmla="*/ 186079 h 1399263"/>
            <a:gd name="connsiteX65" fmla="*/ 47283 w 1686574"/>
            <a:gd name="connsiteY65" fmla="*/ 256263 h 1399263"/>
            <a:gd name="connsiteX66" fmla="*/ 17204 w 1686574"/>
            <a:gd name="connsiteY66" fmla="*/ 266290 h 1399263"/>
            <a:gd name="connsiteX67" fmla="*/ 9 w 1686574"/>
            <a:gd name="connsiteY67" fmla="*/ 274185 h 1399263"/>
            <a:gd name="connsiteX68" fmla="*/ 14814 w 1686574"/>
            <a:gd name="connsiteY68" fmla="*/ 310657 h 1399263"/>
            <a:gd name="connsiteX69" fmla="*/ 32244 w 1686574"/>
            <a:gd name="connsiteY69" fmla="*/ 341487 h 1399263"/>
            <a:gd name="connsiteX70" fmla="*/ 37257 w 1686574"/>
            <a:gd name="connsiteY70" fmla="*/ 356527 h 1399263"/>
            <a:gd name="connsiteX71" fmla="*/ 42270 w 1686574"/>
            <a:gd name="connsiteY71" fmla="*/ 371566 h 1399263"/>
            <a:gd name="connsiteX72" fmla="*/ 47283 w 1686574"/>
            <a:gd name="connsiteY72" fmla="*/ 406658 h 1399263"/>
            <a:gd name="connsiteX73" fmla="*/ 52297 w 1686574"/>
            <a:gd name="connsiteY73" fmla="*/ 421698 h 1399263"/>
            <a:gd name="connsiteX74" fmla="*/ 42270 w 1686574"/>
            <a:gd name="connsiteY74" fmla="*/ 557053 h 1399263"/>
            <a:gd name="connsiteX75" fmla="*/ 37257 w 1686574"/>
            <a:gd name="connsiteY75" fmla="*/ 617211 h 1399263"/>
            <a:gd name="connsiteX76" fmla="*/ 47283 w 1686574"/>
            <a:gd name="connsiteY76" fmla="*/ 647290 h 1399263"/>
            <a:gd name="connsiteX77" fmla="*/ 52297 w 1686574"/>
            <a:gd name="connsiteY77" fmla="*/ 662329 h 1399263"/>
            <a:gd name="connsiteX78" fmla="*/ 42270 w 1686574"/>
            <a:gd name="connsiteY78" fmla="*/ 707448 h 1399263"/>
            <a:gd name="connsiteX79" fmla="*/ 17204 w 1686574"/>
            <a:gd name="connsiteY79" fmla="*/ 752566 h 1399263"/>
            <a:gd name="connsiteX80" fmla="*/ 37257 w 1686574"/>
            <a:gd name="connsiteY80" fmla="*/ 772619 h 1399263"/>
            <a:gd name="connsiteX81" fmla="*/ 42270 w 1686574"/>
            <a:gd name="connsiteY81" fmla="*/ 787658 h 1399263"/>
            <a:gd name="connsiteX82" fmla="*/ 62323 w 1686574"/>
            <a:gd name="connsiteY82" fmla="*/ 807711 h 1399263"/>
            <a:gd name="connsiteX83" fmla="*/ 67336 w 1686574"/>
            <a:gd name="connsiteY83" fmla="*/ 822750 h 1399263"/>
            <a:gd name="connsiteX84" fmla="*/ 77362 w 1686574"/>
            <a:gd name="connsiteY84" fmla="*/ 832777 h 1399263"/>
            <a:gd name="connsiteX85" fmla="*/ 87389 w 1686574"/>
            <a:gd name="connsiteY85" fmla="*/ 862856 h 1399263"/>
            <a:gd name="connsiteX86" fmla="*/ 97415 w 1686574"/>
            <a:gd name="connsiteY86" fmla="*/ 877895 h 1399263"/>
            <a:gd name="connsiteX87" fmla="*/ 107441 w 1686574"/>
            <a:gd name="connsiteY87" fmla="*/ 907974 h 1399263"/>
            <a:gd name="connsiteX88" fmla="*/ 112454 w 1686574"/>
            <a:gd name="connsiteY88" fmla="*/ 923013 h 1399263"/>
            <a:gd name="connsiteX89" fmla="*/ 142533 w 1686574"/>
            <a:gd name="connsiteY89" fmla="*/ 933040 h 1399263"/>
            <a:gd name="connsiteX90" fmla="*/ 157573 w 1686574"/>
            <a:gd name="connsiteY90" fmla="*/ 938053 h 1399263"/>
            <a:gd name="connsiteX91" fmla="*/ 197678 w 1686574"/>
            <a:gd name="connsiteY91" fmla="*/ 943066 h 1399263"/>
            <a:gd name="connsiteX92" fmla="*/ 227757 w 1686574"/>
            <a:gd name="connsiteY92" fmla="*/ 953092 h 1399263"/>
            <a:gd name="connsiteX93" fmla="*/ 242797 w 1686574"/>
            <a:gd name="connsiteY93" fmla="*/ 958106 h 1399263"/>
            <a:gd name="connsiteX94" fmla="*/ 257836 w 1686574"/>
            <a:gd name="connsiteY94" fmla="*/ 968132 h 1399263"/>
            <a:gd name="connsiteX95" fmla="*/ 277889 w 1686574"/>
            <a:gd name="connsiteY95" fmla="*/ 993198 h 1399263"/>
            <a:gd name="connsiteX96" fmla="*/ 292928 w 1686574"/>
            <a:gd name="connsiteY96" fmla="*/ 1003224 h 1399263"/>
            <a:gd name="connsiteX97" fmla="*/ 302954 w 1686574"/>
            <a:gd name="connsiteY97" fmla="*/ 1018263 h 1399263"/>
            <a:gd name="connsiteX98" fmla="*/ 333033 w 1686574"/>
            <a:gd name="connsiteY98" fmla="*/ 1028290 h 1399263"/>
            <a:gd name="connsiteX99" fmla="*/ 408231 w 1686574"/>
            <a:gd name="connsiteY99" fmla="*/ 1038316 h 1399263"/>
            <a:gd name="connsiteX100" fmla="*/ 438310 w 1686574"/>
            <a:gd name="connsiteY100" fmla="*/ 1048342 h 1399263"/>
            <a:gd name="connsiteX101" fmla="*/ 453349 w 1686574"/>
            <a:gd name="connsiteY101" fmla="*/ 1053356 h 1399263"/>
            <a:gd name="connsiteX102" fmla="*/ 483428 w 1686574"/>
            <a:gd name="connsiteY102" fmla="*/ 1068395 h 1399263"/>
            <a:gd name="connsiteX103" fmla="*/ 493454 w 1686574"/>
            <a:gd name="connsiteY103" fmla="*/ 1083434 h 1399263"/>
            <a:gd name="connsiteX104" fmla="*/ 523533 w 1686574"/>
            <a:gd name="connsiteY104" fmla="*/ 1093461 h 1399263"/>
            <a:gd name="connsiteX105" fmla="*/ 548599 w 1686574"/>
            <a:gd name="connsiteY105" fmla="*/ 1113513 h 1399263"/>
            <a:gd name="connsiteX106" fmla="*/ 583691 w 1686574"/>
            <a:gd name="connsiteY106" fmla="*/ 1108500 h 1399263"/>
            <a:gd name="connsiteX107" fmla="*/ 613770 w 1686574"/>
            <a:gd name="connsiteY107" fmla="*/ 1093461 h 1399263"/>
            <a:gd name="connsiteX108" fmla="*/ 663902 w 1686574"/>
            <a:gd name="connsiteY108" fmla="*/ 1078421 h 1399263"/>
            <a:gd name="connsiteX109" fmla="*/ 678941 w 1686574"/>
            <a:gd name="connsiteY109" fmla="*/ 1073408 h 1399263"/>
            <a:gd name="connsiteX110" fmla="*/ 688968 w 1686574"/>
            <a:gd name="connsiteY110" fmla="*/ 1063382 h 1399263"/>
            <a:gd name="connsiteX111" fmla="*/ 698994 w 1686574"/>
            <a:gd name="connsiteY111" fmla="*/ 1048342 h 1399263"/>
            <a:gd name="connsiteX112" fmla="*/ 714033 w 1686574"/>
            <a:gd name="connsiteY112" fmla="*/ 1043329 h 1399263"/>
            <a:gd name="connsiteX113" fmla="*/ 729073 w 1686574"/>
            <a:gd name="connsiteY113" fmla="*/ 1053356 h 1399263"/>
            <a:gd name="connsiteX114" fmla="*/ 744112 w 1686574"/>
            <a:gd name="connsiteY114" fmla="*/ 1058369 h 1399263"/>
            <a:gd name="connsiteX115" fmla="*/ 754139 w 1686574"/>
            <a:gd name="connsiteY115" fmla="*/ 1068395 h 1399263"/>
            <a:gd name="connsiteX116" fmla="*/ 769178 w 1686574"/>
            <a:gd name="connsiteY116" fmla="*/ 1078421 h 1399263"/>
            <a:gd name="connsiteX117" fmla="*/ 779204 w 1686574"/>
            <a:gd name="connsiteY117" fmla="*/ 1088448 h 1399263"/>
            <a:gd name="connsiteX118" fmla="*/ 809283 w 1686574"/>
            <a:gd name="connsiteY118" fmla="*/ 1093461 h 1399263"/>
            <a:gd name="connsiteX119" fmla="*/ 889494 w 1686574"/>
            <a:gd name="connsiteY119" fmla="*/ 1108500 h 1399263"/>
            <a:gd name="connsiteX120" fmla="*/ 944639 w 1686574"/>
            <a:gd name="connsiteY120" fmla="*/ 1123540 h 1399263"/>
            <a:gd name="connsiteX121" fmla="*/ 964691 w 1686574"/>
            <a:gd name="connsiteY121" fmla="*/ 1128553 h 1399263"/>
            <a:gd name="connsiteX122" fmla="*/ 1004797 w 1686574"/>
            <a:gd name="connsiteY122" fmla="*/ 1148606 h 1399263"/>
            <a:gd name="connsiteX123" fmla="*/ 1004797 w 1686574"/>
            <a:gd name="connsiteY123" fmla="*/ 1148606 h 1399263"/>
            <a:gd name="connsiteX124" fmla="*/ 1034876 w 1686574"/>
            <a:gd name="connsiteY124" fmla="*/ 1168658 h 1399263"/>
            <a:gd name="connsiteX125" fmla="*/ 1049915 w 1686574"/>
            <a:gd name="connsiteY125" fmla="*/ 1178684 h 1399263"/>
            <a:gd name="connsiteX126" fmla="*/ 1064954 w 1686574"/>
            <a:gd name="connsiteY126" fmla="*/ 1183698 h 1399263"/>
            <a:gd name="connsiteX127" fmla="*/ 1090020 w 1686574"/>
            <a:gd name="connsiteY127" fmla="*/ 1203750 h 1399263"/>
            <a:gd name="connsiteX128" fmla="*/ 1105060 w 1686574"/>
            <a:gd name="connsiteY128" fmla="*/ 1208763 h 1399263"/>
            <a:gd name="connsiteX129" fmla="*/ 1115086 w 1686574"/>
            <a:gd name="connsiteY129" fmla="*/ 1218790 h 1399263"/>
            <a:gd name="connsiteX130" fmla="*/ 1130126 w 1686574"/>
            <a:gd name="connsiteY130" fmla="*/ 1223803 h 1399263"/>
            <a:gd name="connsiteX131" fmla="*/ 1150178 w 1686574"/>
            <a:gd name="connsiteY131" fmla="*/ 1233829 h 1399263"/>
            <a:gd name="connsiteX132" fmla="*/ 1160204 w 1686574"/>
            <a:gd name="connsiteY132" fmla="*/ 1243856 h 1399263"/>
            <a:gd name="connsiteX133" fmla="*/ 1190283 w 1686574"/>
            <a:gd name="connsiteY133" fmla="*/ 1253882 h 1399263"/>
            <a:gd name="connsiteX134" fmla="*/ 1240415 w 1686574"/>
            <a:gd name="connsiteY134" fmla="*/ 1263908 h 1399263"/>
            <a:gd name="connsiteX135" fmla="*/ 1255454 w 1686574"/>
            <a:gd name="connsiteY135" fmla="*/ 1268921 h 1399263"/>
            <a:gd name="connsiteX136" fmla="*/ 1265481 w 1686574"/>
            <a:gd name="connsiteY136" fmla="*/ 1278948 h 1399263"/>
            <a:gd name="connsiteX137" fmla="*/ 1285533 w 1686574"/>
            <a:gd name="connsiteY137" fmla="*/ 1283961 h 1399263"/>
            <a:gd name="connsiteX138" fmla="*/ 1300573 w 1686574"/>
            <a:gd name="connsiteY138" fmla="*/ 1288974 h 1399263"/>
            <a:gd name="connsiteX139" fmla="*/ 1335665 w 1686574"/>
            <a:gd name="connsiteY139" fmla="*/ 1309027 h 1399263"/>
            <a:gd name="connsiteX140" fmla="*/ 1350704 w 1686574"/>
            <a:gd name="connsiteY140" fmla="*/ 1314040 h 1399263"/>
            <a:gd name="connsiteX141" fmla="*/ 1390810 w 1686574"/>
            <a:gd name="connsiteY141" fmla="*/ 1329079 h 1399263"/>
            <a:gd name="connsiteX142" fmla="*/ 1420889 w 1686574"/>
            <a:gd name="connsiteY142" fmla="*/ 1339106 h 1399263"/>
            <a:gd name="connsiteX143" fmla="*/ 1435928 w 1686574"/>
            <a:gd name="connsiteY143" fmla="*/ 1344119 h 1399263"/>
            <a:gd name="connsiteX144" fmla="*/ 1450968 w 1686574"/>
            <a:gd name="connsiteY144" fmla="*/ 1354145 h 1399263"/>
            <a:gd name="connsiteX145" fmla="*/ 1471020 w 1686574"/>
            <a:gd name="connsiteY145" fmla="*/ 1359158 h 1399263"/>
            <a:gd name="connsiteX146" fmla="*/ 1501099 w 1686574"/>
            <a:gd name="connsiteY146" fmla="*/ 1369184 h 1399263"/>
            <a:gd name="connsiteX147" fmla="*/ 1541204 w 1686574"/>
            <a:gd name="connsiteY147" fmla="*/ 1389237 h 1399263"/>
            <a:gd name="connsiteX148" fmla="*/ 1556244 w 1686574"/>
            <a:gd name="connsiteY148" fmla="*/ 1394250 h 1399263"/>
            <a:gd name="connsiteX149" fmla="*/ 1571283 w 1686574"/>
            <a:gd name="connsiteY149" fmla="*/ 1399263 h 1399263"/>
            <a:gd name="connsiteX150" fmla="*/ 1586323 w 1686574"/>
            <a:gd name="connsiteY150" fmla="*/ 1394250 h 1399263"/>
            <a:gd name="connsiteX151" fmla="*/ 1601362 w 1686574"/>
            <a:gd name="connsiteY151" fmla="*/ 1384224 h 1399263"/>
            <a:gd name="connsiteX152" fmla="*/ 1616402 w 1686574"/>
            <a:gd name="connsiteY152" fmla="*/ 1389237 h 1399263"/>
            <a:gd name="connsiteX153" fmla="*/ 1676560 w 1686574"/>
            <a:gd name="connsiteY153" fmla="*/ 1394250 h 1399263"/>
            <a:gd name="connsiteX154" fmla="*/ 1676560 w 1686574"/>
            <a:gd name="connsiteY154" fmla="*/ 1253882 h 1399263"/>
            <a:gd name="connsiteX155" fmla="*/ 1666533 w 1686574"/>
            <a:gd name="connsiteY155" fmla="*/ 1208763 h 1399263"/>
            <a:gd name="connsiteX156" fmla="*/ 1656507 w 1686574"/>
            <a:gd name="connsiteY156" fmla="*/ 1193724 h 1399263"/>
            <a:gd name="connsiteX157" fmla="*/ 1651494 w 1686574"/>
            <a:gd name="connsiteY157" fmla="*/ 1138579 h 1399263"/>
            <a:gd name="connsiteX158" fmla="*/ 1646481 w 1686574"/>
            <a:gd name="connsiteY158" fmla="*/ 1058369 h 1399263"/>
            <a:gd name="connsiteX159" fmla="*/ 1636454 w 1686574"/>
            <a:gd name="connsiteY159" fmla="*/ 1028290 h 1399263"/>
            <a:gd name="connsiteX160" fmla="*/ 1626428 w 1686574"/>
            <a:gd name="connsiteY160" fmla="*/ 1018263 h 1399263"/>
            <a:gd name="connsiteX161" fmla="*/ 1611389 w 1686574"/>
            <a:gd name="connsiteY161" fmla="*/ 968132 h 1399263"/>
            <a:gd name="connsiteX162" fmla="*/ 1606376 w 1686574"/>
            <a:gd name="connsiteY162" fmla="*/ 822750 h 1399263"/>
            <a:gd name="connsiteX163" fmla="*/ 1606376 w 1686574"/>
            <a:gd name="connsiteY163" fmla="*/ 677369 h 1399263"/>
            <a:gd name="connsiteX164" fmla="*/ 1596349 w 1686574"/>
            <a:gd name="connsiteY164" fmla="*/ 632250 h 1399263"/>
            <a:gd name="connsiteX165" fmla="*/ 1586323 w 1686574"/>
            <a:gd name="connsiteY165" fmla="*/ 617211 h 1399263"/>
            <a:gd name="connsiteX166" fmla="*/ 1576297 w 1686574"/>
            <a:gd name="connsiteY166" fmla="*/ 537000 h 1399263"/>
            <a:gd name="connsiteX167" fmla="*/ 1571283 w 1686574"/>
            <a:gd name="connsiteY167" fmla="*/ 521961 h 1399263"/>
            <a:gd name="connsiteX168" fmla="*/ 1551231 w 1686574"/>
            <a:gd name="connsiteY168" fmla="*/ 471829 h 1399263"/>
            <a:gd name="connsiteX169" fmla="*/ 1541204 w 1686574"/>
            <a:gd name="connsiteY169" fmla="*/ 441750 h 1399263"/>
            <a:gd name="connsiteX170" fmla="*/ 1536191 w 1686574"/>
            <a:gd name="connsiteY170" fmla="*/ 426711 h 1399263"/>
            <a:gd name="connsiteX171" fmla="*/ 1531178 w 1686574"/>
            <a:gd name="connsiteY171" fmla="*/ 401645 h 1399263"/>
            <a:gd name="connsiteX172" fmla="*/ 1521152 w 1686574"/>
            <a:gd name="connsiteY172" fmla="*/ 341487 h 1399263"/>
            <a:gd name="connsiteX173" fmla="*/ 1511126 w 1686574"/>
            <a:gd name="connsiteY173" fmla="*/ 326448 h 1399263"/>
            <a:gd name="connsiteX174" fmla="*/ 1506112 w 1686574"/>
            <a:gd name="connsiteY174" fmla="*/ 311408 h 1399263"/>
            <a:gd name="connsiteX175" fmla="*/ 1501099 w 1686574"/>
            <a:gd name="connsiteY175" fmla="*/ 211145 h 1399263"/>
            <a:gd name="connsiteX176" fmla="*/ 1486060 w 1686574"/>
            <a:gd name="connsiteY176" fmla="*/ 201119 h 1399263"/>
            <a:gd name="connsiteX177" fmla="*/ 1491073 w 1686574"/>
            <a:gd name="connsiteY177" fmla="*/ 181066 h 1399263"/>
            <a:gd name="connsiteX178" fmla="*/ 1516139 w 1686574"/>
            <a:gd name="connsiteY178" fmla="*/ 166027 h 139926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  <a:cxn ang="0">
              <a:pos x="connsiteX159" y="connsiteY159"/>
            </a:cxn>
            <a:cxn ang="0">
              <a:pos x="connsiteX160" y="connsiteY160"/>
            </a:cxn>
            <a:cxn ang="0">
              <a:pos x="connsiteX161" y="connsiteY161"/>
            </a:cxn>
            <a:cxn ang="0">
              <a:pos x="connsiteX162" y="connsiteY162"/>
            </a:cxn>
            <a:cxn ang="0">
              <a:pos x="connsiteX163" y="connsiteY163"/>
            </a:cxn>
            <a:cxn ang="0">
              <a:pos x="connsiteX164" y="connsiteY164"/>
            </a:cxn>
            <a:cxn ang="0">
              <a:pos x="connsiteX165" y="connsiteY165"/>
            </a:cxn>
            <a:cxn ang="0">
              <a:pos x="connsiteX166" y="connsiteY166"/>
            </a:cxn>
            <a:cxn ang="0">
              <a:pos x="connsiteX167" y="connsiteY167"/>
            </a:cxn>
            <a:cxn ang="0">
              <a:pos x="connsiteX168" y="connsiteY168"/>
            </a:cxn>
            <a:cxn ang="0">
              <a:pos x="connsiteX169" y="connsiteY169"/>
            </a:cxn>
            <a:cxn ang="0">
              <a:pos x="connsiteX170" y="connsiteY170"/>
            </a:cxn>
            <a:cxn ang="0">
              <a:pos x="connsiteX171" y="connsiteY171"/>
            </a:cxn>
            <a:cxn ang="0">
              <a:pos x="connsiteX172" y="connsiteY172"/>
            </a:cxn>
            <a:cxn ang="0">
              <a:pos x="connsiteX173" y="connsiteY173"/>
            </a:cxn>
            <a:cxn ang="0">
              <a:pos x="connsiteX174" y="connsiteY174"/>
            </a:cxn>
            <a:cxn ang="0">
              <a:pos x="connsiteX175" y="connsiteY175"/>
            </a:cxn>
            <a:cxn ang="0">
              <a:pos x="connsiteX176" y="connsiteY176"/>
            </a:cxn>
            <a:cxn ang="0">
              <a:pos x="connsiteX177" y="connsiteY177"/>
            </a:cxn>
            <a:cxn ang="0">
              <a:pos x="connsiteX178" y="connsiteY178"/>
            </a:cxn>
          </a:cxnLst>
          <a:rect l="l" t="t" r="r" b="b"/>
          <a:pathLst>
            <a:path w="1686574" h="1399263">
              <a:moveTo>
                <a:pt x="1516139" y="166027"/>
              </a:moveTo>
              <a:cubicBezTo>
                <a:pt x="1519481" y="158507"/>
                <a:pt x="1514695" y="145465"/>
                <a:pt x="1511126" y="135948"/>
              </a:cubicBezTo>
              <a:cubicBezTo>
                <a:pt x="1506126" y="122614"/>
                <a:pt x="1477634" y="118100"/>
                <a:pt x="1471020" y="115895"/>
              </a:cubicBezTo>
              <a:lnTo>
                <a:pt x="1440941" y="105869"/>
              </a:lnTo>
              <a:cubicBezTo>
                <a:pt x="1435928" y="104198"/>
                <a:pt x="1431028" y="102138"/>
                <a:pt x="1425902" y="100856"/>
              </a:cubicBezTo>
              <a:cubicBezTo>
                <a:pt x="1419218" y="99185"/>
                <a:pt x="1412449" y="97822"/>
                <a:pt x="1405849" y="95842"/>
              </a:cubicBezTo>
              <a:cubicBezTo>
                <a:pt x="1395726" y="92805"/>
                <a:pt x="1385796" y="89158"/>
                <a:pt x="1375770" y="85816"/>
              </a:cubicBezTo>
              <a:lnTo>
                <a:pt x="1360731" y="80803"/>
              </a:lnTo>
              <a:cubicBezTo>
                <a:pt x="1357389" y="77461"/>
                <a:pt x="1354932" y="72891"/>
                <a:pt x="1350704" y="70777"/>
              </a:cubicBezTo>
              <a:cubicBezTo>
                <a:pt x="1341251" y="66051"/>
                <a:pt x="1320626" y="60750"/>
                <a:pt x="1320626" y="60750"/>
              </a:cubicBezTo>
              <a:cubicBezTo>
                <a:pt x="1296410" y="36537"/>
                <a:pt x="1327187" y="66000"/>
                <a:pt x="1295560" y="40698"/>
              </a:cubicBezTo>
              <a:cubicBezTo>
                <a:pt x="1291869" y="37745"/>
                <a:pt x="1289761" y="32785"/>
                <a:pt x="1285533" y="30671"/>
              </a:cubicBezTo>
              <a:cubicBezTo>
                <a:pt x="1279371" y="27590"/>
                <a:pt x="1272106" y="27551"/>
                <a:pt x="1265481" y="25658"/>
              </a:cubicBezTo>
              <a:cubicBezTo>
                <a:pt x="1260400" y="24206"/>
                <a:pt x="1255454" y="22316"/>
                <a:pt x="1250441" y="20645"/>
              </a:cubicBezTo>
              <a:cubicBezTo>
                <a:pt x="1245428" y="17303"/>
                <a:pt x="1241247" y="12080"/>
                <a:pt x="1235402" y="10619"/>
              </a:cubicBezTo>
              <a:cubicBezTo>
                <a:pt x="1220722" y="6949"/>
                <a:pt x="1205209" y="8094"/>
                <a:pt x="1190283" y="5606"/>
              </a:cubicBezTo>
              <a:cubicBezTo>
                <a:pt x="1185071" y="4737"/>
                <a:pt x="1180257" y="2263"/>
                <a:pt x="1175244" y="592"/>
              </a:cubicBezTo>
              <a:cubicBezTo>
                <a:pt x="1163547" y="2263"/>
                <a:pt x="1151778" y="3492"/>
                <a:pt x="1140152" y="5606"/>
              </a:cubicBezTo>
              <a:cubicBezTo>
                <a:pt x="1133373" y="6839"/>
                <a:pt x="1126855" y="9268"/>
                <a:pt x="1120099" y="10619"/>
              </a:cubicBezTo>
              <a:cubicBezTo>
                <a:pt x="1110132" y="12612"/>
                <a:pt x="1100046" y="13961"/>
                <a:pt x="1090020" y="15632"/>
              </a:cubicBezTo>
              <a:cubicBezTo>
                <a:pt x="1085007" y="17303"/>
                <a:pt x="1079512" y="17926"/>
                <a:pt x="1074981" y="20645"/>
              </a:cubicBezTo>
              <a:cubicBezTo>
                <a:pt x="1070928" y="23077"/>
                <a:pt x="1069298" y="28809"/>
                <a:pt x="1064954" y="30671"/>
              </a:cubicBezTo>
              <a:cubicBezTo>
                <a:pt x="1057122" y="34027"/>
                <a:pt x="1048109" y="33442"/>
                <a:pt x="1039889" y="35684"/>
              </a:cubicBezTo>
              <a:cubicBezTo>
                <a:pt x="1029693" y="38465"/>
                <a:pt x="1009810" y="45711"/>
                <a:pt x="1009810" y="45711"/>
              </a:cubicBezTo>
              <a:cubicBezTo>
                <a:pt x="1004993" y="50528"/>
                <a:pt x="990332" y="63876"/>
                <a:pt x="989757" y="70777"/>
              </a:cubicBezTo>
              <a:cubicBezTo>
                <a:pt x="989491" y="73965"/>
                <a:pt x="992032" y="118016"/>
                <a:pt x="999783" y="130934"/>
              </a:cubicBezTo>
              <a:cubicBezTo>
                <a:pt x="1002215" y="134987"/>
                <a:pt x="1006468" y="137619"/>
                <a:pt x="1009810" y="140961"/>
              </a:cubicBezTo>
              <a:cubicBezTo>
                <a:pt x="1011481" y="145974"/>
                <a:pt x="1005110" y="152491"/>
                <a:pt x="1007655" y="160763"/>
              </a:cubicBezTo>
              <a:cubicBezTo>
                <a:pt x="1010200" y="169035"/>
                <a:pt x="1010881" y="147989"/>
                <a:pt x="1025082" y="190591"/>
              </a:cubicBezTo>
              <a:cubicBezTo>
                <a:pt x="1023411" y="195604"/>
                <a:pt x="1027394" y="194351"/>
                <a:pt x="1024849" y="196106"/>
              </a:cubicBezTo>
              <a:cubicBezTo>
                <a:pt x="1022304" y="197861"/>
                <a:pt x="1014536" y="198756"/>
                <a:pt x="1009810" y="201119"/>
              </a:cubicBezTo>
              <a:cubicBezTo>
                <a:pt x="1004421" y="203813"/>
                <a:pt x="999304" y="207177"/>
                <a:pt x="994770" y="211145"/>
              </a:cubicBezTo>
              <a:cubicBezTo>
                <a:pt x="985877" y="218926"/>
                <a:pt x="979536" y="229657"/>
                <a:pt x="969704" y="236211"/>
              </a:cubicBezTo>
              <a:lnTo>
                <a:pt x="939626" y="256263"/>
              </a:lnTo>
              <a:cubicBezTo>
                <a:pt x="937955" y="261276"/>
                <a:pt x="939693" y="269851"/>
                <a:pt x="934612" y="271303"/>
              </a:cubicBezTo>
              <a:cubicBezTo>
                <a:pt x="896313" y="282246"/>
                <a:pt x="913374" y="265697"/>
                <a:pt x="894507" y="256263"/>
              </a:cubicBezTo>
              <a:cubicBezTo>
                <a:pt x="885054" y="251536"/>
                <a:pt x="874454" y="249579"/>
                <a:pt x="864428" y="246237"/>
              </a:cubicBezTo>
              <a:lnTo>
                <a:pt x="849389" y="241224"/>
              </a:lnTo>
              <a:lnTo>
                <a:pt x="834349" y="236211"/>
              </a:lnTo>
              <a:cubicBezTo>
                <a:pt x="810490" y="220303"/>
                <a:pt x="828686" y="229999"/>
                <a:pt x="799257" y="221171"/>
              </a:cubicBezTo>
              <a:cubicBezTo>
                <a:pt x="738225" y="202862"/>
                <a:pt x="795348" y="217688"/>
                <a:pt x="749126" y="206132"/>
              </a:cubicBezTo>
              <a:cubicBezTo>
                <a:pt x="745784" y="202790"/>
                <a:pt x="743327" y="198220"/>
                <a:pt x="739099" y="196106"/>
              </a:cubicBezTo>
              <a:cubicBezTo>
                <a:pt x="729646" y="191380"/>
                <a:pt x="719046" y="189421"/>
                <a:pt x="709020" y="186079"/>
              </a:cubicBezTo>
              <a:cubicBezTo>
                <a:pt x="678051" y="175755"/>
                <a:pt x="699233" y="181591"/>
                <a:pt x="643849" y="176053"/>
              </a:cubicBezTo>
              <a:cubicBezTo>
                <a:pt x="601248" y="161853"/>
                <a:pt x="653190" y="181658"/>
                <a:pt x="618783" y="161013"/>
              </a:cubicBezTo>
              <a:cubicBezTo>
                <a:pt x="614252" y="158294"/>
                <a:pt x="608470" y="158363"/>
                <a:pt x="603744" y="156000"/>
              </a:cubicBezTo>
              <a:cubicBezTo>
                <a:pt x="598355" y="153306"/>
                <a:pt x="593717" y="149316"/>
                <a:pt x="588704" y="145974"/>
              </a:cubicBezTo>
              <a:cubicBezTo>
                <a:pt x="587033" y="140961"/>
                <a:pt x="586257" y="135553"/>
                <a:pt x="583691" y="130934"/>
              </a:cubicBezTo>
              <a:cubicBezTo>
                <a:pt x="578095" y="120861"/>
                <a:pt x="551556" y="80118"/>
                <a:pt x="538573" y="75790"/>
              </a:cubicBezTo>
              <a:cubicBezTo>
                <a:pt x="528547" y="72448"/>
                <a:pt x="518858" y="67836"/>
                <a:pt x="508494" y="65763"/>
              </a:cubicBezTo>
              <a:cubicBezTo>
                <a:pt x="473065" y="58678"/>
                <a:pt x="491510" y="63444"/>
                <a:pt x="453349" y="50724"/>
              </a:cubicBezTo>
              <a:lnTo>
                <a:pt x="393191" y="30671"/>
              </a:lnTo>
              <a:lnTo>
                <a:pt x="363112" y="20645"/>
              </a:lnTo>
              <a:lnTo>
                <a:pt x="328020" y="15632"/>
              </a:lnTo>
              <a:lnTo>
                <a:pt x="287915" y="10619"/>
              </a:lnTo>
              <a:lnTo>
                <a:pt x="217731" y="592"/>
              </a:lnTo>
              <a:cubicBezTo>
                <a:pt x="195152" y="2850"/>
                <a:pt x="162586" y="-9294"/>
                <a:pt x="162586" y="20645"/>
              </a:cubicBezTo>
              <a:cubicBezTo>
                <a:pt x="162586" y="25929"/>
                <a:pt x="165928" y="30671"/>
                <a:pt x="167599" y="35684"/>
              </a:cubicBezTo>
              <a:cubicBezTo>
                <a:pt x="163405" y="77625"/>
                <a:pt x="176051" y="81590"/>
                <a:pt x="147547" y="95842"/>
              </a:cubicBezTo>
              <a:cubicBezTo>
                <a:pt x="142820" y="98205"/>
                <a:pt x="137520" y="99185"/>
                <a:pt x="132507" y="100856"/>
              </a:cubicBezTo>
              <a:cubicBezTo>
                <a:pt x="115318" y="126640"/>
                <a:pt x="131315" y="106821"/>
                <a:pt x="107441" y="125921"/>
              </a:cubicBezTo>
              <a:cubicBezTo>
                <a:pt x="87778" y="141652"/>
                <a:pt x="108496" y="132254"/>
                <a:pt x="82376" y="140961"/>
              </a:cubicBezTo>
              <a:cubicBezTo>
                <a:pt x="73050" y="150286"/>
                <a:pt x="69957" y="154689"/>
                <a:pt x="57310" y="161013"/>
              </a:cubicBezTo>
              <a:cubicBezTo>
                <a:pt x="52583" y="163376"/>
                <a:pt x="47283" y="164356"/>
                <a:pt x="42270" y="166027"/>
              </a:cubicBezTo>
              <a:cubicBezTo>
                <a:pt x="21900" y="227138"/>
                <a:pt x="36371" y="138334"/>
                <a:pt x="42737" y="186079"/>
              </a:cubicBezTo>
              <a:cubicBezTo>
                <a:pt x="45837" y="209328"/>
                <a:pt x="51539" y="242894"/>
                <a:pt x="47283" y="256263"/>
              </a:cubicBezTo>
              <a:cubicBezTo>
                <a:pt x="43027" y="269632"/>
                <a:pt x="25083" y="263303"/>
                <a:pt x="17204" y="266290"/>
              </a:cubicBezTo>
              <a:cubicBezTo>
                <a:pt x="9325" y="269277"/>
                <a:pt x="407" y="266791"/>
                <a:pt x="9" y="274185"/>
              </a:cubicBezTo>
              <a:cubicBezTo>
                <a:pt x="-389" y="281579"/>
                <a:pt x="12367" y="305151"/>
                <a:pt x="14814" y="310657"/>
              </a:cubicBezTo>
              <a:cubicBezTo>
                <a:pt x="14816" y="310662"/>
                <a:pt x="28504" y="333842"/>
                <a:pt x="32244" y="341487"/>
              </a:cubicBezTo>
              <a:cubicBezTo>
                <a:pt x="35984" y="349132"/>
                <a:pt x="35586" y="351514"/>
                <a:pt x="37257" y="356527"/>
              </a:cubicBezTo>
              <a:lnTo>
                <a:pt x="42270" y="371566"/>
              </a:lnTo>
              <a:cubicBezTo>
                <a:pt x="43941" y="383263"/>
                <a:pt x="44966" y="395071"/>
                <a:pt x="47283" y="406658"/>
              </a:cubicBezTo>
              <a:cubicBezTo>
                <a:pt x="48319" y="411840"/>
                <a:pt x="52297" y="416413"/>
                <a:pt x="52297" y="421698"/>
              </a:cubicBezTo>
              <a:cubicBezTo>
                <a:pt x="52297" y="490482"/>
                <a:pt x="47669" y="500358"/>
                <a:pt x="42270" y="557053"/>
              </a:cubicBezTo>
              <a:cubicBezTo>
                <a:pt x="40362" y="577085"/>
                <a:pt x="38928" y="597158"/>
                <a:pt x="37257" y="617211"/>
              </a:cubicBezTo>
              <a:lnTo>
                <a:pt x="47283" y="647290"/>
              </a:lnTo>
              <a:lnTo>
                <a:pt x="52297" y="662329"/>
              </a:lnTo>
              <a:cubicBezTo>
                <a:pt x="50937" y="670487"/>
                <a:pt x="48146" y="696871"/>
                <a:pt x="42270" y="707448"/>
              </a:cubicBezTo>
              <a:cubicBezTo>
                <a:pt x="13537" y="759169"/>
                <a:pt x="28551" y="718533"/>
                <a:pt x="17204" y="752566"/>
              </a:cubicBezTo>
              <a:cubicBezTo>
                <a:pt x="23888" y="759250"/>
                <a:pt x="34268" y="763651"/>
                <a:pt x="37257" y="772619"/>
              </a:cubicBezTo>
              <a:cubicBezTo>
                <a:pt x="38928" y="777632"/>
                <a:pt x="39199" y="783358"/>
                <a:pt x="42270" y="787658"/>
              </a:cubicBezTo>
              <a:cubicBezTo>
                <a:pt x="47765" y="795350"/>
                <a:pt x="62323" y="807711"/>
                <a:pt x="62323" y="807711"/>
              </a:cubicBezTo>
              <a:cubicBezTo>
                <a:pt x="63994" y="812724"/>
                <a:pt x="64617" y="818219"/>
                <a:pt x="67336" y="822750"/>
              </a:cubicBezTo>
              <a:cubicBezTo>
                <a:pt x="69768" y="826803"/>
                <a:pt x="75248" y="828549"/>
                <a:pt x="77362" y="832777"/>
              </a:cubicBezTo>
              <a:cubicBezTo>
                <a:pt x="82088" y="842230"/>
                <a:pt x="81527" y="854062"/>
                <a:pt x="87389" y="862856"/>
              </a:cubicBezTo>
              <a:cubicBezTo>
                <a:pt x="90731" y="867869"/>
                <a:pt x="94968" y="872389"/>
                <a:pt x="97415" y="877895"/>
              </a:cubicBezTo>
              <a:cubicBezTo>
                <a:pt x="101707" y="887553"/>
                <a:pt x="104099" y="897948"/>
                <a:pt x="107441" y="907974"/>
              </a:cubicBezTo>
              <a:cubicBezTo>
                <a:pt x="109112" y="912987"/>
                <a:pt x="107441" y="921342"/>
                <a:pt x="112454" y="923013"/>
              </a:cubicBezTo>
              <a:lnTo>
                <a:pt x="142533" y="933040"/>
              </a:lnTo>
              <a:cubicBezTo>
                <a:pt x="147546" y="934711"/>
                <a:pt x="152329" y="937398"/>
                <a:pt x="157573" y="938053"/>
              </a:cubicBezTo>
              <a:lnTo>
                <a:pt x="197678" y="943066"/>
              </a:lnTo>
              <a:lnTo>
                <a:pt x="227757" y="953092"/>
              </a:lnTo>
              <a:cubicBezTo>
                <a:pt x="232770" y="954763"/>
                <a:pt x="238400" y="955175"/>
                <a:pt x="242797" y="958106"/>
              </a:cubicBezTo>
              <a:lnTo>
                <a:pt x="257836" y="968132"/>
              </a:lnTo>
              <a:cubicBezTo>
                <a:pt x="265281" y="979299"/>
                <a:pt x="267684" y="985034"/>
                <a:pt x="277889" y="993198"/>
              </a:cubicBezTo>
              <a:cubicBezTo>
                <a:pt x="282594" y="996962"/>
                <a:pt x="287915" y="999882"/>
                <a:pt x="292928" y="1003224"/>
              </a:cubicBezTo>
              <a:cubicBezTo>
                <a:pt x="296270" y="1008237"/>
                <a:pt x="297845" y="1015070"/>
                <a:pt x="302954" y="1018263"/>
              </a:cubicBezTo>
              <a:cubicBezTo>
                <a:pt x="311916" y="1023864"/>
                <a:pt x="323007" y="1024948"/>
                <a:pt x="333033" y="1028290"/>
              </a:cubicBezTo>
              <a:cubicBezTo>
                <a:pt x="367159" y="1039665"/>
                <a:pt x="342822" y="1032865"/>
                <a:pt x="408231" y="1038316"/>
              </a:cubicBezTo>
              <a:lnTo>
                <a:pt x="438310" y="1048342"/>
              </a:lnTo>
              <a:cubicBezTo>
                <a:pt x="443323" y="1050013"/>
                <a:pt x="448952" y="1050425"/>
                <a:pt x="453349" y="1053356"/>
              </a:cubicBezTo>
              <a:cubicBezTo>
                <a:pt x="472786" y="1066313"/>
                <a:pt x="462673" y="1061477"/>
                <a:pt x="483428" y="1068395"/>
              </a:cubicBezTo>
              <a:cubicBezTo>
                <a:pt x="486770" y="1073408"/>
                <a:pt x="488345" y="1080241"/>
                <a:pt x="493454" y="1083434"/>
              </a:cubicBezTo>
              <a:cubicBezTo>
                <a:pt x="502416" y="1089035"/>
                <a:pt x="523533" y="1093461"/>
                <a:pt x="523533" y="1093461"/>
              </a:cubicBezTo>
              <a:cubicBezTo>
                <a:pt x="528448" y="1098376"/>
                <a:pt x="541574" y="1112810"/>
                <a:pt x="548599" y="1113513"/>
              </a:cubicBezTo>
              <a:cubicBezTo>
                <a:pt x="560356" y="1114689"/>
                <a:pt x="571994" y="1110171"/>
                <a:pt x="583691" y="1108500"/>
              </a:cubicBezTo>
              <a:cubicBezTo>
                <a:pt x="638529" y="1090222"/>
                <a:pt x="555476" y="1119370"/>
                <a:pt x="613770" y="1093461"/>
              </a:cubicBezTo>
              <a:cubicBezTo>
                <a:pt x="635220" y="1083928"/>
                <a:pt x="643483" y="1084255"/>
                <a:pt x="663902" y="1078421"/>
              </a:cubicBezTo>
              <a:cubicBezTo>
                <a:pt x="668983" y="1076969"/>
                <a:pt x="673928" y="1075079"/>
                <a:pt x="678941" y="1073408"/>
              </a:cubicBezTo>
              <a:cubicBezTo>
                <a:pt x="682283" y="1070066"/>
                <a:pt x="686015" y="1067073"/>
                <a:pt x="688968" y="1063382"/>
              </a:cubicBezTo>
              <a:cubicBezTo>
                <a:pt x="692732" y="1058677"/>
                <a:pt x="694289" y="1052106"/>
                <a:pt x="698994" y="1048342"/>
              </a:cubicBezTo>
              <a:cubicBezTo>
                <a:pt x="703120" y="1045041"/>
                <a:pt x="709020" y="1045000"/>
                <a:pt x="714033" y="1043329"/>
              </a:cubicBezTo>
              <a:cubicBezTo>
                <a:pt x="719046" y="1046671"/>
                <a:pt x="723684" y="1050661"/>
                <a:pt x="729073" y="1053356"/>
              </a:cubicBezTo>
              <a:cubicBezTo>
                <a:pt x="733799" y="1055719"/>
                <a:pt x="739581" y="1055650"/>
                <a:pt x="744112" y="1058369"/>
              </a:cubicBezTo>
              <a:cubicBezTo>
                <a:pt x="748165" y="1060801"/>
                <a:pt x="750448" y="1065442"/>
                <a:pt x="754139" y="1068395"/>
              </a:cubicBezTo>
              <a:cubicBezTo>
                <a:pt x="758844" y="1072159"/>
                <a:pt x="764473" y="1074657"/>
                <a:pt x="769178" y="1078421"/>
              </a:cubicBezTo>
              <a:cubicBezTo>
                <a:pt x="772869" y="1081374"/>
                <a:pt x="774778" y="1086788"/>
                <a:pt x="779204" y="1088448"/>
              </a:cubicBezTo>
              <a:cubicBezTo>
                <a:pt x="788721" y="1092017"/>
                <a:pt x="799344" y="1091331"/>
                <a:pt x="809283" y="1093461"/>
              </a:cubicBezTo>
              <a:cubicBezTo>
                <a:pt x="883729" y="1109413"/>
                <a:pt x="814920" y="1099179"/>
                <a:pt x="889494" y="1108500"/>
              </a:cubicBezTo>
              <a:cubicBezTo>
                <a:pt x="917605" y="1117870"/>
                <a:pt x="899409" y="1112232"/>
                <a:pt x="944639" y="1123540"/>
              </a:cubicBezTo>
              <a:lnTo>
                <a:pt x="964691" y="1128553"/>
              </a:lnTo>
              <a:cubicBezTo>
                <a:pt x="982192" y="1146052"/>
                <a:pt x="970234" y="1137084"/>
                <a:pt x="1004797" y="1148606"/>
              </a:cubicBezTo>
              <a:lnTo>
                <a:pt x="1004797" y="1148606"/>
              </a:lnTo>
              <a:lnTo>
                <a:pt x="1034876" y="1168658"/>
              </a:lnTo>
              <a:cubicBezTo>
                <a:pt x="1039889" y="1172000"/>
                <a:pt x="1044199" y="1176778"/>
                <a:pt x="1049915" y="1178684"/>
              </a:cubicBezTo>
              <a:lnTo>
                <a:pt x="1064954" y="1183698"/>
              </a:lnTo>
              <a:cubicBezTo>
                <a:pt x="1074279" y="1193022"/>
                <a:pt x="1077374" y="1197427"/>
                <a:pt x="1090020" y="1203750"/>
              </a:cubicBezTo>
              <a:cubicBezTo>
                <a:pt x="1094747" y="1206113"/>
                <a:pt x="1100047" y="1207092"/>
                <a:pt x="1105060" y="1208763"/>
              </a:cubicBezTo>
              <a:cubicBezTo>
                <a:pt x="1108402" y="1212105"/>
                <a:pt x="1111033" y="1216358"/>
                <a:pt x="1115086" y="1218790"/>
              </a:cubicBezTo>
              <a:cubicBezTo>
                <a:pt x="1119617" y="1221509"/>
                <a:pt x="1125269" y="1221721"/>
                <a:pt x="1130126" y="1223803"/>
              </a:cubicBezTo>
              <a:cubicBezTo>
                <a:pt x="1136995" y="1226747"/>
                <a:pt x="1143494" y="1230487"/>
                <a:pt x="1150178" y="1233829"/>
              </a:cubicBezTo>
              <a:cubicBezTo>
                <a:pt x="1153520" y="1237171"/>
                <a:pt x="1155976" y="1241742"/>
                <a:pt x="1160204" y="1243856"/>
              </a:cubicBezTo>
              <a:cubicBezTo>
                <a:pt x="1169657" y="1248583"/>
                <a:pt x="1180257" y="1250540"/>
                <a:pt x="1190283" y="1253882"/>
              </a:cubicBezTo>
              <a:cubicBezTo>
                <a:pt x="1216532" y="1262631"/>
                <a:pt x="1200094" y="1258148"/>
                <a:pt x="1240415" y="1263908"/>
              </a:cubicBezTo>
              <a:cubicBezTo>
                <a:pt x="1245428" y="1265579"/>
                <a:pt x="1250923" y="1266202"/>
                <a:pt x="1255454" y="1268921"/>
              </a:cubicBezTo>
              <a:cubicBezTo>
                <a:pt x="1259507" y="1271353"/>
                <a:pt x="1261253" y="1276834"/>
                <a:pt x="1265481" y="1278948"/>
              </a:cubicBezTo>
              <a:cubicBezTo>
                <a:pt x="1271643" y="1282029"/>
                <a:pt x="1278908" y="1282068"/>
                <a:pt x="1285533" y="1283961"/>
              </a:cubicBezTo>
              <a:cubicBezTo>
                <a:pt x="1290614" y="1285413"/>
                <a:pt x="1295560" y="1287303"/>
                <a:pt x="1300573" y="1288974"/>
              </a:cubicBezTo>
              <a:cubicBezTo>
                <a:pt x="1315676" y="1299043"/>
                <a:pt x="1317857" y="1301395"/>
                <a:pt x="1335665" y="1309027"/>
              </a:cubicBezTo>
              <a:cubicBezTo>
                <a:pt x="1340522" y="1311109"/>
                <a:pt x="1345691" y="1312369"/>
                <a:pt x="1350704" y="1314040"/>
              </a:cubicBezTo>
              <a:cubicBezTo>
                <a:pt x="1369714" y="1333048"/>
                <a:pt x="1352207" y="1319428"/>
                <a:pt x="1390810" y="1329079"/>
              </a:cubicBezTo>
              <a:cubicBezTo>
                <a:pt x="1401063" y="1331642"/>
                <a:pt x="1410863" y="1335764"/>
                <a:pt x="1420889" y="1339106"/>
              </a:cubicBezTo>
              <a:cubicBezTo>
                <a:pt x="1425902" y="1340777"/>
                <a:pt x="1431531" y="1341188"/>
                <a:pt x="1435928" y="1344119"/>
              </a:cubicBezTo>
              <a:cubicBezTo>
                <a:pt x="1440941" y="1347461"/>
                <a:pt x="1445430" y="1351772"/>
                <a:pt x="1450968" y="1354145"/>
              </a:cubicBezTo>
              <a:cubicBezTo>
                <a:pt x="1457301" y="1356859"/>
                <a:pt x="1464421" y="1357178"/>
                <a:pt x="1471020" y="1359158"/>
              </a:cubicBezTo>
              <a:cubicBezTo>
                <a:pt x="1481143" y="1362195"/>
                <a:pt x="1501099" y="1369184"/>
                <a:pt x="1501099" y="1369184"/>
              </a:cubicBezTo>
              <a:cubicBezTo>
                <a:pt x="1518599" y="1386684"/>
                <a:pt x="1506642" y="1377717"/>
                <a:pt x="1541204" y="1389237"/>
              </a:cubicBezTo>
              <a:lnTo>
                <a:pt x="1556244" y="1394250"/>
              </a:lnTo>
              <a:lnTo>
                <a:pt x="1571283" y="1399263"/>
              </a:lnTo>
              <a:cubicBezTo>
                <a:pt x="1576296" y="1397592"/>
                <a:pt x="1581596" y="1396613"/>
                <a:pt x="1586323" y="1394250"/>
              </a:cubicBezTo>
              <a:cubicBezTo>
                <a:pt x="1591712" y="1391556"/>
                <a:pt x="1595419" y="1385214"/>
                <a:pt x="1601362" y="1384224"/>
              </a:cubicBezTo>
              <a:cubicBezTo>
                <a:pt x="1606575" y="1383355"/>
                <a:pt x="1611164" y="1388539"/>
                <a:pt x="1616402" y="1389237"/>
              </a:cubicBezTo>
              <a:cubicBezTo>
                <a:pt x="1636348" y="1391896"/>
                <a:pt x="1656507" y="1392579"/>
                <a:pt x="1676560" y="1394250"/>
              </a:cubicBezTo>
              <a:cubicBezTo>
                <a:pt x="1694455" y="1340564"/>
                <a:pt x="1684467" y="1376443"/>
                <a:pt x="1676560" y="1253882"/>
              </a:cubicBezTo>
              <a:cubicBezTo>
                <a:pt x="1675989" y="1245034"/>
                <a:pt x="1672001" y="1219698"/>
                <a:pt x="1666533" y="1208763"/>
              </a:cubicBezTo>
              <a:cubicBezTo>
                <a:pt x="1663839" y="1203374"/>
                <a:pt x="1659849" y="1198737"/>
                <a:pt x="1656507" y="1193724"/>
              </a:cubicBezTo>
              <a:cubicBezTo>
                <a:pt x="1654836" y="1175342"/>
                <a:pt x="1652857" y="1156986"/>
                <a:pt x="1651494" y="1138579"/>
              </a:cubicBezTo>
              <a:cubicBezTo>
                <a:pt x="1649515" y="1111863"/>
                <a:pt x="1650101" y="1084912"/>
                <a:pt x="1646481" y="1058369"/>
              </a:cubicBezTo>
              <a:cubicBezTo>
                <a:pt x="1645053" y="1047897"/>
                <a:pt x="1643927" y="1035764"/>
                <a:pt x="1636454" y="1028290"/>
              </a:cubicBezTo>
              <a:lnTo>
                <a:pt x="1626428" y="1018263"/>
              </a:lnTo>
              <a:cubicBezTo>
                <a:pt x="1614223" y="981648"/>
                <a:pt x="1618965" y="998437"/>
                <a:pt x="1611389" y="968132"/>
              </a:cubicBezTo>
              <a:cubicBezTo>
                <a:pt x="1609718" y="919671"/>
                <a:pt x="1606376" y="871239"/>
                <a:pt x="1606376" y="822750"/>
              </a:cubicBezTo>
              <a:cubicBezTo>
                <a:pt x="1606376" y="694540"/>
                <a:pt x="1617667" y="767687"/>
                <a:pt x="1606376" y="677369"/>
              </a:cubicBezTo>
              <a:cubicBezTo>
                <a:pt x="1605093" y="667104"/>
                <a:pt x="1602185" y="643922"/>
                <a:pt x="1596349" y="632250"/>
              </a:cubicBezTo>
              <a:cubicBezTo>
                <a:pt x="1593655" y="626861"/>
                <a:pt x="1589665" y="622224"/>
                <a:pt x="1586323" y="617211"/>
              </a:cubicBezTo>
              <a:cubicBezTo>
                <a:pt x="1584586" y="601576"/>
                <a:pt x="1579873" y="554879"/>
                <a:pt x="1576297" y="537000"/>
              </a:cubicBezTo>
              <a:cubicBezTo>
                <a:pt x="1575261" y="531818"/>
                <a:pt x="1572673" y="527059"/>
                <a:pt x="1571283" y="521961"/>
              </a:cubicBezTo>
              <a:cubicBezTo>
                <a:pt x="1558713" y="475873"/>
                <a:pt x="1571480" y="492080"/>
                <a:pt x="1551231" y="471829"/>
              </a:cubicBezTo>
              <a:lnTo>
                <a:pt x="1541204" y="441750"/>
              </a:lnTo>
              <a:cubicBezTo>
                <a:pt x="1539533" y="436737"/>
                <a:pt x="1537227" y="431893"/>
                <a:pt x="1536191" y="426711"/>
              </a:cubicBezTo>
              <a:cubicBezTo>
                <a:pt x="1534520" y="418356"/>
                <a:pt x="1532474" y="410067"/>
                <a:pt x="1531178" y="401645"/>
              </a:cubicBezTo>
              <a:cubicBezTo>
                <a:pt x="1529675" y="391874"/>
                <a:pt x="1527200" y="355600"/>
                <a:pt x="1521152" y="341487"/>
              </a:cubicBezTo>
              <a:cubicBezTo>
                <a:pt x="1518779" y="335949"/>
                <a:pt x="1513820" y="331837"/>
                <a:pt x="1511126" y="326448"/>
              </a:cubicBezTo>
              <a:cubicBezTo>
                <a:pt x="1508763" y="321721"/>
                <a:pt x="1507783" y="316421"/>
                <a:pt x="1506112" y="311408"/>
              </a:cubicBezTo>
              <a:cubicBezTo>
                <a:pt x="1504441" y="277987"/>
                <a:pt x="1507085" y="244068"/>
                <a:pt x="1501099" y="211145"/>
              </a:cubicBezTo>
              <a:cubicBezTo>
                <a:pt x="1500021" y="205217"/>
                <a:pt x="1487965" y="206835"/>
                <a:pt x="1486060" y="201119"/>
              </a:cubicBezTo>
              <a:cubicBezTo>
                <a:pt x="1483881" y="194583"/>
                <a:pt x="1489722" y="187822"/>
                <a:pt x="1491073" y="181066"/>
              </a:cubicBezTo>
              <a:cubicBezTo>
                <a:pt x="1491401" y="179427"/>
                <a:pt x="1512797" y="173547"/>
                <a:pt x="1516139" y="166027"/>
              </a:cubicBezTo>
              <a:close/>
            </a:path>
          </a:pathLst>
        </a:custGeom>
        <a:solidFill>
          <a:srgbClr val="FFFF00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30</xdr:col>
      <xdr:colOff>107908</xdr:colOff>
      <xdr:row>20</xdr:row>
      <xdr:rowOff>99773</xdr:rowOff>
    </xdr:from>
    <xdr:to>
      <xdr:col>30</xdr:col>
      <xdr:colOff>476933</xdr:colOff>
      <xdr:row>24</xdr:row>
      <xdr:rowOff>60157</xdr:rowOff>
    </xdr:to>
    <xdr:sp macro="" textlink="">
      <xdr:nvSpPr>
        <xdr:cNvPr id="6" name="Freeform 5"/>
        <xdr:cNvSpPr/>
      </xdr:nvSpPr>
      <xdr:spPr>
        <a:xfrm>
          <a:off x="18324471" y="3933586"/>
          <a:ext cx="369025" cy="722384"/>
        </a:xfrm>
        <a:custGeom>
          <a:avLst/>
          <a:gdLst>
            <a:gd name="connsiteX0" fmla="*/ 65171 w 365961"/>
            <a:gd name="connsiteY0" fmla="*/ 40594 h 722384"/>
            <a:gd name="connsiteX1" fmla="*/ 120316 w 365961"/>
            <a:gd name="connsiteY1" fmla="*/ 20542 h 722384"/>
            <a:gd name="connsiteX2" fmla="*/ 135356 w 365961"/>
            <a:gd name="connsiteY2" fmla="*/ 15529 h 722384"/>
            <a:gd name="connsiteX3" fmla="*/ 150395 w 365961"/>
            <a:gd name="connsiteY3" fmla="*/ 5502 h 722384"/>
            <a:gd name="connsiteX4" fmla="*/ 210553 w 365961"/>
            <a:gd name="connsiteY4" fmla="*/ 5502 h 722384"/>
            <a:gd name="connsiteX5" fmla="*/ 220579 w 365961"/>
            <a:gd name="connsiteY5" fmla="*/ 15529 h 722384"/>
            <a:gd name="connsiteX6" fmla="*/ 235619 w 365961"/>
            <a:gd name="connsiteY6" fmla="*/ 65660 h 722384"/>
            <a:gd name="connsiteX7" fmla="*/ 250658 w 365961"/>
            <a:gd name="connsiteY7" fmla="*/ 50621 h 722384"/>
            <a:gd name="connsiteX8" fmla="*/ 295777 w 365961"/>
            <a:gd name="connsiteY8" fmla="*/ 40594 h 722384"/>
            <a:gd name="connsiteX9" fmla="*/ 320842 w 365961"/>
            <a:gd name="connsiteY9" fmla="*/ 45608 h 722384"/>
            <a:gd name="connsiteX10" fmla="*/ 300790 w 365961"/>
            <a:gd name="connsiteY10" fmla="*/ 75687 h 722384"/>
            <a:gd name="connsiteX11" fmla="*/ 290764 w 365961"/>
            <a:gd name="connsiteY11" fmla="*/ 90726 h 722384"/>
            <a:gd name="connsiteX12" fmla="*/ 270711 w 365961"/>
            <a:gd name="connsiteY12" fmla="*/ 110779 h 722384"/>
            <a:gd name="connsiteX13" fmla="*/ 280737 w 365961"/>
            <a:gd name="connsiteY13" fmla="*/ 140858 h 722384"/>
            <a:gd name="connsiteX14" fmla="*/ 285750 w 365961"/>
            <a:gd name="connsiteY14" fmla="*/ 155897 h 722384"/>
            <a:gd name="connsiteX15" fmla="*/ 295777 w 365961"/>
            <a:gd name="connsiteY15" fmla="*/ 165923 h 722384"/>
            <a:gd name="connsiteX16" fmla="*/ 305803 w 365961"/>
            <a:gd name="connsiteY16" fmla="*/ 196002 h 722384"/>
            <a:gd name="connsiteX17" fmla="*/ 310816 w 365961"/>
            <a:gd name="connsiteY17" fmla="*/ 211042 h 722384"/>
            <a:gd name="connsiteX18" fmla="*/ 295777 w 365961"/>
            <a:gd name="connsiteY18" fmla="*/ 281226 h 722384"/>
            <a:gd name="connsiteX19" fmla="*/ 280737 w 365961"/>
            <a:gd name="connsiteY19" fmla="*/ 286239 h 722384"/>
            <a:gd name="connsiteX20" fmla="*/ 260685 w 365961"/>
            <a:gd name="connsiteY20" fmla="*/ 316318 h 722384"/>
            <a:gd name="connsiteX21" fmla="*/ 240632 w 365961"/>
            <a:gd name="connsiteY21" fmla="*/ 336371 h 722384"/>
            <a:gd name="connsiteX22" fmla="*/ 255671 w 365961"/>
            <a:gd name="connsiteY22" fmla="*/ 341384 h 722384"/>
            <a:gd name="connsiteX23" fmla="*/ 265698 w 365961"/>
            <a:gd name="connsiteY23" fmla="*/ 351410 h 722384"/>
            <a:gd name="connsiteX24" fmla="*/ 280737 w 365961"/>
            <a:gd name="connsiteY24" fmla="*/ 361437 h 722384"/>
            <a:gd name="connsiteX25" fmla="*/ 290764 w 365961"/>
            <a:gd name="connsiteY25" fmla="*/ 371463 h 722384"/>
            <a:gd name="connsiteX26" fmla="*/ 305803 w 365961"/>
            <a:gd name="connsiteY26" fmla="*/ 376476 h 722384"/>
            <a:gd name="connsiteX27" fmla="*/ 315829 w 365961"/>
            <a:gd name="connsiteY27" fmla="*/ 391515 h 722384"/>
            <a:gd name="connsiteX28" fmla="*/ 340895 w 365961"/>
            <a:gd name="connsiteY28" fmla="*/ 411568 h 722384"/>
            <a:gd name="connsiteX29" fmla="*/ 355935 w 365961"/>
            <a:gd name="connsiteY29" fmla="*/ 441647 h 722384"/>
            <a:gd name="connsiteX30" fmla="*/ 365961 w 365961"/>
            <a:gd name="connsiteY30" fmla="*/ 456687 h 722384"/>
            <a:gd name="connsiteX31" fmla="*/ 360948 w 365961"/>
            <a:gd name="connsiteY31" fmla="*/ 501805 h 722384"/>
            <a:gd name="connsiteX32" fmla="*/ 365961 w 365961"/>
            <a:gd name="connsiteY32" fmla="*/ 516844 h 722384"/>
            <a:gd name="connsiteX33" fmla="*/ 340895 w 365961"/>
            <a:gd name="connsiteY33" fmla="*/ 556950 h 722384"/>
            <a:gd name="connsiteX34" fmla="*/ 325856 w 365961"/>
            <a:gd name="connsiteY34" fmla="*/ 561963 h 722384"/>
            <a:gd name="connsiteX35" fmla="*/ 300790 w 365961"/>
            <a:gd name="connsiteY35" fmla="*/ 582015 h 722384"/>
            <a:gd name="connsiteX36" fmla="*/ 290764 w 365961"/>
            <a:gd name="connsiteY36" fmla="*/ 592042 h 722384"/>
            <a:gd name="connsiteX37" fmla="*/ 275724 w 365961"/>
            <a:gd name="connsiteY37" fmla="*/ 597055 h 722384"/>
            <a:gd name="connsiteX38" fmla="*/ 270711 w 365961"/>
            <a:gd name="connsiteY38" fmla="*/ 612094 h 722384"/>
            <a:gd name="connsiteX39" fmla="*/ 240632 w 365961"/>
            <a:gd name="connsiteY39" fmla="*/ 622121 h 722384"/>
            <a:gd name="connsiteX40" fmla="*/ 250658 w 365961"/>
            <a:gd name="connsiteY40" fmla="*/ 652200 h 722384"/>
            <a:gd name="connsiteX41" fmla="*/ 235619 w 365961"/>
            <a:gd name="connsiteY41" fmla="*/ 702331 h 722384"/>
            <a:gd name="connsiteX42" fmla="*/ 210553 w 365961"/>
            <a:gd name="connsiteY42" fmla="*/ 722384 h 722384"/>
            <a:gd name="connsiteX43" fmla="*/ 190500 w 365961"/>
            <a:gd name="connsiteY43" fmla="*/ 717371 h 722384"/>
            <a:gd name="connsiteX44" fmla="*/ 185487 w 365961"/>
            <a:gd name="connsiteY44" fmla="*/ 682279 h 722384"/>
            <a:gd name="connsiteX45" fmla="*/ 180474 w 365961"/>
            <a:gd name="connsiteY45" fmla="*/ 657213 h 722384"/>
            <a:gd name="connsiteX46" fmla="*/ 175461 w 365961"/>
            <a:gd name="connsiteY46" fmla="*/ 627134 h 722384"/>
            <a:gd name="connsiteX47" fmla="*/ 170448 w 365961"/>
            <a:gd name="connsiteY47" fmla="*/ 607081 h 722384"/>
            <a:gd name="connsiteX48" fmla="*/ 165435 w 365961"/>
            <a:gd name="connsiteY48" fmla="*/ 577002 h 722384"/>
            <a:gd name="connsiteX49" fmla="*/ 160421 w 365961"/>
            <a:gd name="connsiteY49" fmla="*/ 561963 h 722384"/>
            <a:gd name="connsiteX50" fmla="*/ 145382 w 365961"/>
            <a:gd name="connsiteY50" fmla="*/ 556950 h 722384"/>
            <a:gd name="connsiteX51" fmla="*/ 140369 w 365961"/>
            <a:gd name="connsiteY51" fmla="*/ 541910 h 722384"/>
            <a:gd name="connsiteX52" fmla="*/ 115303 w 365961"/>
            <a:gd name="connsiteY52" fmla="*/ 521858 h 722384"/>
            <a:gd name="connsiteX53" fmla="*/ 95250 w 365961"/>
            <a:gd name="connsiteY53" fmla="*/ 496792 h 722384"/>
            <a:gd name="connsiteX54" fmla="*/ 90237 w 365961"/>
            <a:gd name="connsiteY54" fmla="*/ 481752 h 722384"/>
            <a:gd name="connsiteX55" fmla="*/ 40106 w 365961"/>
            <a:gd name="connsiteY55" fmla="*/ 456687 h 722384"/>
            <a:gd name="connsiteX56" fmla="*/ 30079 w 365961"/>
            <a:gd name="connsiteY56" fmla="*/ 446660 h 722384"/>
            <a:gd name="connsiteX57" fmla="*/ 15040 w 365961"/>
            <a:gd name="connsiteY57" fmla="*/ 436634 h 722384"/>
            <a:gd name="connsiteX58" fmla="*/ 0 w 365961"/>
            <a:gd name="connsiteY58" fmla="*/ 386502 h 722384"/>
            <a:gd name="connsiteX59" fmla="*/ 5014 w 365961"/>
            <a:gd name="connsiteY59" fmla="*/ 341384 h 722384"/>
            <a:gd name="connsiteX60" fmla="*/ 40106 w 365961"/>
            <a:gd name="connsiteY60" fmla="*/ 301279 h 722384"/>
            <a:gd name="connsiteX61" fmla="*/ 60158 w 365961"/>
            <a:gd name="connsiteY61" fmla="*/ 261173 h 722384"/>
            <a:gd name="connsiteX62" fmla="*/ 65171 w 365961"/>
            <a:gd name="connsiteY62" fmla="*/ 241121 h 722384"/>
            <a:gd name="connsiteX63" fmla="*/ 70185 w 365961"/>
            <a:gd name="connsiteY63" fmla="*/ 226081 h 722384"/>
            <a:gd name="connsiteX64" fmla="*/ 55145 w 365961"/>
            <a:gd name="connsiteY64" fmla="*/ 155897 h 722384"/>
            <a:gd name="connsiteX65" fmla="*/ 45119 w 365961"/>
            <a:gd name="connsiteY65" fmla="*/ 90726 h 722384"/>
            <a:gd name="connsiteX66" fmla="*/ 65171 w 365961"/>
            <a:gd name="connsiteY66" fmla="*/ 40594 h 722384"/>
            <a:gd name="connsiteX0" fmla="*/ 65171 w 365961"/>
            <a:gd name="connsiteY0" fmla="*/ 40594 h 722384"/>
            <a:gd name="connsiteX1" fmla="*/ 120316 w 365961"/>
            <a:gd name="connsiteY1" fmla="*/ 20542 h 722384"/>
            <a:gd name="connsiteX2" fmla="*/ 135356 w 365961"/>
            <a:gd name="connsiteY2" fmla="*/ 15529 h 722384"/>
            <a:gd name="connsiteX3" fmla="*/ 150395 w 365961"/>
            <a:gd name="connsiteY3" fmla="*/ 5502 h 722384"/>
            <a:gd name="connsiteX4" fmla="*/ 210553 w 365961"/>
            <a:gd name="connsiteY4" fmla="*/ 5502 h 722384"/>
            <a:gd name="connsiteX5" fmla="*/ 220579 w 365961"/>
            <a:gd name="connsiteY5" fmla="*/ 15529 h 722384"/>
            <a:gd name="connsiteX6" fmla="*/ 235619 w 365961"/>
            <a:gd name="connsiteY6" fmla="*/ 65660 h 722384"/>
            <a:gd name="connsiteX7" fmla="*/ 250658 w 365961"/>
            <a:gd name="connsiteY7" fmla="*/ 50621 h 722384"/>
            <a:gd name="connsiteX8" fmla="*/ 295777 w 365961"/>
            <a:gd name="connsiteY8" fmla="*/ 40594 h 722384"/>
            <a:gd name="connsiteX9" fmla="*/ 320842 w 365961"/>
            <a:gd name="connsiteY9" fmla="*/ 45608 h 722384"/>
            <a:gd name="connsiteX10" fmla="*/ 300790 w 365961"/>
            <a:gd name="connsiteY10" fmla="*/ 75687 h 722384"/>
            <a:gd name="connsiteX11" fmla="*/ 290764 w 365961"/>
            <a:gd name="connsiteY11" fmla="*/ 90726 h 722384"/>
            <a:gd name="connsiteX12" fmla="*/ 270711 w 365961"/>
            <a:gd name="connsiteY12" fmla="*/ 110779 h 722384"/>
            <a:gd name="connsiteX13" fmla="*/ 280737 w 365961"/>
            <a:gd name="connsiteY13" fmla="*/ 140858 h 722384"/>
            <a:gd name="connsiteX14" fmla="*/ 285750 w 365961"/>
            <a:gd name="connsiteY14" fmla="*/ 155897 h 722384"/>
            <a:gd name="connsiteX15" fmla="*/ 295777 w 365961"/>
            <a:gd name="connsiteY15" fmla="*/ 165923 h 722384"/>
            <a:gd name="connsiteX16" fmla="*/ 305803 w 365961"/>
            <a:gd name="connsiteY16" fmla="*/ 196002 h 722384"/>
            <a:gd name="connsiteX17" fmla="*/ 310816 w 365961"/>
            <a:gd name="connsiteY17" fmla="*/ 211042 h 722384"/>
            <a:gd name="connsiteX18" fmla="*/ 295777 w 365961"/>
            <a:gd name="connsiteY18" fmla="*/ 281226 h 722384"/>
            <a:gd name="connsiteX19" fmla="*/ 280737 w 365961"/>
            <a:gd name="connsiteY19" fmla="*/ 286239 h 722384"/>
            <a:gd name="connsiteX20" fmla="*/ 260685 w 365961"/>
            <a:gd name="connsiteY20" fmla="*/ 316318 h 722384"/>
            <a:gd name="connsiteX21" fmla="*/ 240632 w 365961"/>
            <a:gd name="connsiteY21" fmla="*/ 336371 h 722384"/>
            <a:gd name="connsiteX22" fmla="*/ 255671 w 365961"/>
            <a:gd name="connsiteY22" fmla="*/ 341384 h 722384"/>
            <a:gd name="connsiteX23" fmla="*/ 265698 w 365961"/>
            <a:gd name="connsiteY23" fmla="*/ 351410 h 722384"/>
            <a:gd name="connsiteX24" fmla="*/ 280737 w 365961"/>
            <a:gd name="connsiteY24" fmla="*/ 361437 h 722384"/>
            <a:gd name="connsiteX25" fmla="*/ 290764 w 365961"/>
            <a:gd name="connsiteY25" fmla="*/ 371463 h 722384"/>
            <a:gd name="connsiteX26" fmla="*/ 305803 w 365961"/>
            <a:gd name="connsiteY26" fmla="*/ 376476 h 722384"/>
            <a:gd name="connsiteX27" fmla="*/ 315829 w 365961"/>
            <a:gd name="connsiteY27" fmla="*/ 391515 h 722384"/>
            <a:gd name="connsiteX28" fmla="*/ 340895 w 365961"/>
            <a:gd name="connsiteY28" fmla="*/ 411568 h 722384"/>
            <a:gd name="connsiteX29" fmla="*/ 355935 w 365961"/>
            <a:gd name="connsiteY29" fmla="*/ 441647 h 722384"/>
            <a:gd name="connsiteX30" fmla="*/ 365961 w 365961"/>
            <a:gd name="connsiteY30" fmla="*/ 456687 h 722384"/>
            <a:gd name="connsiteX31" fmla="*/ 360948 w 365961"/>
            <a:gd name="connsiteY31" fmla="*/ 501805 h 722384"/>
            <a:gd name="connsiteX32" fmla="*/ 365961 w 365961"/>
            <a:gd name="connsiteY32" fmla="*/ 516844 h 722384"/>
            <a:gd name="connsiteX33" fmla="*/ 340895 w 365961"/>
            <a:gd name="connsiteY33" fmla="*/ 556950 h 722384"/>
            <a:gd name="connsiteX34" fmla="*/ 325856 w 365961"/>
            <a:gd name="connsiteY34" fmla="*/ 561963 h 722384"/>
            <a:gd name="connsiteX35" fmla="*/ 300790 w 365961"/>
            <a:gd name="connsiteY35" fmla="*/ 582015 h 722384"/>
            <a:gd name="connsiteX36" fmla="*/ 290764 w 365961"/>
            <a:gd name="connsiteY36" fmla="*/ 592042 h 722384"/>
            <a:gd name="connsiteX37" fmla="*/ 275724 w 365961"/>
            <a:gd name="connsiteY37" fmla="*/ 597055 h 722384"/>
            <a:gd name="connsiteX38" fmla="*/ 270711 w 365961"/>
            <a:gd name="connsiteY38" fmla="*/ 612094 h 722384"/>
            <a:gd name="connsiteX39" fmla="*/ 240632 w 365961"/>
            <a:gd name="connsiteY39" fmla="*/ 622121 h 722384"/>
            <a:gd name="connsiteX40" fmla="*/ 257801 w 365961"/>
            <a:gd name="connsiteY40" fmla="*/ 666488 h 722384"/>
            <a:gd name="connsiteX41" fmla="*/ 235619 w 365961"/>
            <a:gd name="connsiteY41" fmla="*/ 702331 h 722384"/>
            <a:gd name="connsiteX42" fmla="*/ 210553 w 365961"/>
            <a:gd name="connsiteY42" fmla="*/ 722384 h 722384"/>
            <a:gd name="connsiteX43" fmla="*/ 190500 w 365961"/>
            <a:gd name="connsiteY43" fmla="*/ 717371 h 722384"/>
            <a:gd name="connsiteX44" fmla="*/ 185487 w 365961"/>
            <a:gd name="connsiteY44" fmla="*/ 682279 h 722384"/>
            <a:gd name="connsiteX45" fmla="*/ 180474 w 365961"/>
            <a:gd name="connsiteY45" fmla="*/ 657213 h 722384"/>
            <a:gd name="connsiteX46" fmla="*/ 175461 w 365961"/>
            <a:gd name="connsiteY46" fmla="*/ 627134 h 722384"/>
            <a:gd name="connsiteX47" fmla="*/ 170448 w 365961"/>
            <a:gd name="connsiteY47" fmla="*/ 607081 h 722384"/>
            <a:gd name="connsiteX48" fmla="*/ 165435 w 365961"/>
            <a:gd name="connsiteY48" fmla="*/ 577002 h 722384"/>
            <a:gd name="connsiteX49" fmla="*/ 160421 w 365961"/>
            <a:gd name="connsiteY49" fmla="*/ 561963 h 722384"/>
            <a:gd name="connsiteX50" fmla="*/ 145382 w 365961"/>
            <a:gd name="connsiteY50" fmla="*/ 556950 h 722384"/>
            <a:gd name="connsiteX51" fmla="*/ 140369 w 365961"/>
            <a:gd name="connsiteY51" fmla="*/ 541910 h 722384"/>
            <a:gd name="connsiteX52" fmla="*/ 115303 w 365961"/>
            <a:gd name="connsiteY52" fmla="*/ 521858 h 722384"/>
            <a:gd name="connsiteX53" fmla="*/ 95250 w 365961"/>
            <a:gd name="connsiteY53" fmla="*/ 496792 h 722384"/>
            <a:gd name="connsiteX54" fmla="*/ 90237 w 365961"/>
            <a:gd name="connsiteY54" fmla="*/ 481752 h 722384"/>
            <a:gd name="connsiteX55" fmla="*/ 40106 w 365961"/>
            <a:gd name="connsiteY55" fmla="*/ 456687 h 722384"/>
            <a:gd name="connsiteX56" fmla="*/ 30079 w 365961"/>
            <a:gd name="connsiteY56" fmla="*/ 446660 h 722384"/>
            <a:gd name="connsiteX57" fmla="*/ 15040 w 365961"/>
            <a:gd name="connsiteY57" fmla="*/ 436634 h 722384"/>
            <a:gd name="connsiteX58" fmla="*/ 0 w 365961"/>
            <a:gd name="connsiteY58" fmla="*/ 386502 h 722384"/>
            <a:gd name="connsiteX59" fmla="*/ 5014 w 365961"/>
            <a:gd name="connsiteY59" fmla="*/ 341384 h 722384"/>
            <a:gd name="connsiteX60" fmla="*/ 40106 w 365961"/>
            <a:gd name="connsiteY60" fmla="*/ 301279 h 722384"/>
            <a:gd name="connsiteX61" fmla="*/ 60158 w 365961"/>
            <a:gd name="connsiteY61" fmla="*/ 261173 h 722384"/>
            <a:gd name="connsiteX62" fmla="*/ 65171 w 365961"/>
            <a:gd name="connsiteY62" fmla="*/ 241121 h 722384"/>
            <a:gd name="connsiteX63" fmla="*/ 70185 w 365961"/>
            <a:gd name="connsiteY63" fmla="*/ 226081 h 722384"/>
            <a:gd name="connsiteX64" fmla="*/ 55145 w 365961"/>
            <a:gd name="connsiteY64" fmla="*/ 155897 h 722384"/>
            <a:gd name="connsiteX65" fmla="*/ 45119 w 365961"/>
            <a:gd name="connsiteY65" fmla="*/ 90726 h 722384"/>
            <a:gd name="connsiteX66" fmla="*/ 65171 w 365961"/>
            <a:gd name="connsiteY66" fmla="*/ 40594 h 722384"/>
            <a:gd name="connsiteX0" fmla="*/ 65171 w 365961"/>
            <a:gd name="connsiteY0" fmla="*/ 40594 h 722384"/>
            <a:gd name="connsiteX1" fmla="*/ 120316 w 365961"/>
            <a:gd name="connsiteY1" fmla="*/ 20542 h 722384"/>
            <a:gd name="connsiteX2" fmla="*/ 135356 w 365961"/>
            <a:gd name="connsiteY2" fmla="*/ 15529 h 722384"/>
            <a:gd name="connsiteX3" fmla="*/ 150395 w 365961"/>
            <a:gd name="connsiteY3" fmla="*/ 5502 h 722384"/>
            <a:gd name="connsiteX4" fmla="*/ 210553 w 365961"/>
            <a:gd name="connsiteY4" fmla="*/ 5502 h 722384"/>
            <a:gd name="connsiteX5" fmla="*/ 220579 w 365961"/>
            <a:gd name="connsiteY5" fmla="*/ 15529 h 722384"/>
            <a:gd name="connsiteX6" fmla="*/ 235619 w 365961"/>
            <a:gd name="connsiteY6" fmla="*/ 65660 h 722384"/>
            <a:gd name="connsiteX7" fmla="*/ 250658 w 365961"/>
            <a:gd name="connsiteY7" fmla="*/ 50621 h 722384"/>
            <a:gd name="connsiteX8" fmla="*/ 295777 w 365961"/>
            <a:gd name="connsiteY8" fmla="*/ 40594 h 722384"/>
            <a:gd name="connsiteX9" fmla="*/ 320842 w 365961"/>
            <a:gd name="connsiteY9" fmla="*/ 45608 h 722384"/>
            <a:gd name="connsiteX10" fmla="*/ 300790 w 365961"/>
            <a:gd name="connsiteY10" fmla="*/ 75687 h 722384"/>
            <a:gd name="connsiteX11" fmla="*/ 290764 w 365961"/>
            <a:gd name="connsiteY11" fmla="*/ 90726 h 722384"/>
            <a:gd name="connsiteX12" fmla="*/ 270711 w 365961"/>
            <a:gd name="connsiteY12" fmla="*/ 110779 h 722384"/>
            <a:gd name="connsiteX13" fmla="*/ 280737 w 365961"/>
            <a:gd name="connsiteY13" fmla="*/ 140858 h 722384"/>
            <a:gd name="connsiteX14" fmla="*/ 285750 w 365961"/>
            <a:gd name="connsiteY14" fmla="*/ 155897 h 722384"/>
            <a:gd name="connsiteX15" fmla="*/ 295777 w 365961"/>
            <a:gd name="connsiteY15" fmla="*/ 165923 h 722384"/>
            <a:gd name="connsiteX16" fmla="*/ 305803 w 365961"/>
            <a:gd name="connsiteY16" fmla="*/ 196002 h 722384"/>
            <a:gd name="connsiteX17" fmla="*/ 310816 w 365961"/>
            <a:gd name="connsiteY17" fmla="*/ 211042 h 722384"/>
            <a:gd name="connsiteX18" fmla="*/ 295777 w 365961"/>
            <a:gd name="connsiteY18" fmla="*/ 281226 h 722384"/>
            <a:gd name="connsiteX19" fmla="*/ 280737 w 365961"/>
            <a:gd name="connsiteY19" fmla="*/ 286239 h 722384"/>
            <a:gd name="connsiteX20" fmla="*/ 260685 w 365961"/>
            <a:gd name="connsiteY20" fmla="*/ 316318 h 722384"/>
            <a:gd name="connsiteX21" fmla="*/ 240632 w 365961"/>
            <a:gd name="connsiteY21" fmla="*/ 336371 h 722384"/>
            <a:gd name="connsiteX22" fmla="*/ 255671 w 365961"/>
            <a:gd name="connsiteY22" fmla="*/ 341384 h 722384"/>
            <a:gd name="connsiteX23" fmla="*/ 265698 w 365961"/>
            <a:gd name="connsiteY23" fmla="*/ 351410 h 722384"/>
            <a:gd name="connsiteX24" fmla="*/ 280737 w 365961"/>
            <a:gd name="connsiteY24" fmla="*/ 361437 h 722384"/>
            <a:gd name="connsiteX25" fmla="*/ 290764 w 365961"/>
            <a:gd name="connsiteY25" fmla="*/ 371463 h 722384"/>
            <a:gd name="connsiteX26" fmla="*/ 305803 w 365961"/>
            <a:gd name="connsiteY26" fmla="*/ 376476 h 722384"/>
            <a:gd name="connsiteX27" fmla="*/ 315829 w 365961"/>
            <a:gd name="connsiteY27" fmla="*/ 391515 h 722384"/>
            <a:gd name="connsiteX28" fmla="*/ 340895 w 365961"/>
            <a:gd name="connsiteY28" fmla="*/ 411568 h 722384"/>
            <a:gd name="connsiteX29" fmla="*/ 355935 w 365961"/>
            <a:gd name="connsiteY29" fmla="*/ 441647 h 722384"/>
            <a:gd name="connsiteX30" fmla="*/ 365961 w 365961"/>
            <a:gd name="connsiteY30" fmla="*/ 456687 h 722384"/>
            <a:gd name="connsiteX31" fmla="*/ 360948 w 365961"/>
            <a:gd name="connsiteY31" fmla="*/ 501805 h 722384"/>
            <a:gd name="connsiteX32" fmla="*/ 365961 w 365961"/>
            <a:gd name="connsiteY32" fmla="*/ 516844 h 722384"/>
            <a:gd name="connsiteX33" fmla="*/ 340895 w 365961"/>
            <a:gd name="connsiteY33" fmla="*/ 556950 h 722384"/>
            <a:gd name="connsiteX34" fmla="*/ 325856 w 365961"/>
            <a:gd name="connsiteY34" fmla="*/ 561963 h 722384"/>
            <a:gd name="connsiteX35" fmla="*/ 300790 w 365961"/>
            <a:gd name="connsiteY35" fmla="*/ 582015 h 722384"/>
            <a:gd name="connsiteX36" fmla="*/ 290764 w 365961"/>
            <a:gd name="connsiteY36" fmla="*/ 592042 h 722384"/>
            <a:gd name="connsiteX37" fmla="*/ 275724 w 365961"/>
            <a:gd name="connsiteY37" fmla="*/ 597055 h 722384"/>
            <a:gd name="connsiteX38" fmla="*/ 270711 w 365961"/>
            <a:gd name="connsiteY38" fmla="*/ 612094 h 722384"/>
            <a:gd name="connsiteX39" fmla="*/ 240632 w 365961"/>
            <a:gd name="connsiteY39" fmla="*/ 622121 h 722384"/>
            <a:gd name="connsiteX40" fmla="*/ 257801 w 365961"/>
            <a:gd name="connsiteY40" fmla="*/ 666488 h 722384"/>
            <a:gd name="connsiteX41" fmla="*/ 245144 w 365961"/>
            <a:gd name="connsiteY41" fmla="*/ 711856 h 722384"/>
            <a:gd name="connsiteX42" fmla="*/ 210553 w 365961"/>
            <a:gd name="connsiteY42" fmla="*/ 722384 h 722384"/>
            <a:gd name="connsiteX43" fmla="*/ 190500 w 365961"/>
            <a:gd name="connsiteY43" fmla="*/ 717371 h 722384"/>
            <a:gd name="connsiteX44" fmla="*/ 185487 w 365961"/>
            <a:gd name="connsiteY44" fmla="*/ 682279 h 722384"/>
            <a:gd name="connsiteX45" fmla="*/ 180474 w 365961"/>
            <a:gd name="connsiteY45" fmla="*/ 657213 h 722384"/>
            <a:gd name="connsiteX46" fmla="*/ 175461 w 365961"/>
            <a:gd name="connsiteY46" fmla="*/ 627134 h 722384"/>
            <a:gd name="connsiteX47" fmla="*/ 170448 w 365961"/>
            <a:gd name="connsiteY47" fmla="*/ 607081 h 722384"/>
            <a:gd name="connsiteX48" fmla="*/ 165435 w 365961"/>
            <a:gd name="connsiteY48" fmla="*/ 577002 h 722384"/>
            <a:gd name="connsiteX49" fmla="*/ 160421 w 365961"/>
            <a:gd name="connsiteY49" fmla="*/ 561963 h 722384"/>
            <a:gd name="connsiteX50" fmla="*/ 145382 w 365961"/>
            <a:gd name="connsiteY50" fmla="*/ 556950 h 722384"/>
            <a:gd name="connsiteX51" fmla="*/ 140369 w 365961"/>
            <a:gd name="connsiteY51" fmla="*/ 541910 h 722384"/>
            <a:gd name="connsiteX52" fmla="*/ 115303 w 365961"/>
            <a:gd name="connsiteY52" fmla="*/ 521858 h 722384"/>
            <a:gd name="connsiteX53" fmla="*/ 95250 w 365961"/>
            <a:gd name="connsiteY53" fmla="*/ 496792 h 722384"/>
            <a:gd name="connsiteX54" fmla="*/ 90237 w 365961"/>
            <a:gd name="connsiteY54" fmla="*/ 481752 h 722384"/>
            <a:gd name="connsiteX55" fmla="*/ 40106 w 365961"/>
            <a:gd name="connsiteY55" fmla="*/ 456687 h 722384"/>
            <a:gd name="connsiteX56" fmla="*/ 30079 w 365961"/>
            <a:gd name="connsiteY56" fmla="*/ 446660 h 722384"/>
            <a:gd name="connsiteX57" fmla="*/ 15040 w 365961"/>
            <a:gd name="connsiteY57" fmla="*/ 436634 h 722384"/>
            <a:gd name="connsiteX58" fmla="*/ 0 w 365961"/>
            <a:gd name="connsiteY58" fmla="*/ 386502 h 722384"/>
            <a:gd name="connsiteX59" fmla="*/ 5014 w 365961"/>
            <a:gd name="connsiteY59" fmla="*/ 341384 h 722384"/>
            <a:gd name="connsiteX60" fmla="*/ 40106 w 365961"/>
            <a:gd name="connsiteY60" fmla="*/ 301279 h 722384"/>
            <a:gd name="connsiteX61" fmla="*/ 60158 w 365961"/>
            <a:gd name="connsiteY61" fmla="*/ 261173 h 722384"/>
            <a:gd name="connsiteX62" fmla="*/ 65171 w 365961"/>
            <a:gd name="connsiteY62" fmla="*/ 241121 h 722384"/>
            <a:gd name="connsiteX63" fmla="*/ 70185 w 365961"/>
            <a:gd name="connsiteY63" fmla="*/ 226081 h 722384"/>
            <a:gd name="connsiteX64" fmla="*/ 55145 w 365961"/>
            <a:gd name="connsiteY64" fmla="*/ 155897 h 722384"/>
            <a:gd name="connsiteX65" fmla="*/ 45119 w 365961"/>
            <a:gd name="connsiteY65" fmla="*/ 90726 h 722384"/>
            <a:gd name="connsiteX66" fmla="*/ 65171 w 365961"/>
            <a:gd name="connsiteY66" fmla="*/ 40594 h 722384"/>
            <a:gd name="connsiteX0" fmla="*/ 65171 w 365961"/>
            <a:gd name="connsiteY0" fmla="*/ 40594 h 722384"/>
            <a:gd name="connsiteX1" fmla="*/ 120316 w 365961"/>
            <a:gd name="connsiteY1" fmla="*/ 20542 h 722384"/>
            <a:gd name="connsiteX2" fmla="*/ 135356 w 365961"/>
            <a:gd name="connsiteY2" fmla="*/ 15529 h 722384"/>
            <a:gd name="connsiteX3" fmla="*/ 150395 w 365961"/>
            <a:gd name="connsiteY3" fmla="*/ 5502 h 722384"/>
            <a:gd name="connsiteX4" fmla="*/ 210553 w 365961"/>
            <a:gd name="connsiteY4" fmla="*/ 5502 h 722384"/>
            <a:gd name="connsiteX5" fmla="*/ 220579 w 365961"/>
            <a:gd name="connsiteY5" fmla="*/ 15529 h 722384"/>
            <a:gd name="connsiteX6" fmla="*/ 235619 w 365961"/>
            <a:gd name="connsiteY6" fmla="*/ 65660 h 722384"/>
            <a:gd name="connsiteX7" fmla="*/ 250658 w 365961"/>
            <a:gd name="connsiteY7" fmla="*/ 50621 h 722384"/>
            <a:gd name="connsiteX8" fmla="*/ 295777 w 365961"/>
            <a:gd name="connsiteY8" fmla="*/ 40594 h 722384"/>
            <a:gd name="connsiteX9" fmla="*/ 320842 w 365961"/>
            <a:gd name="connsiteY9" fmla="*/ 45608 h 722384"/>
            <a:gd name="connsiteX10" fmla="*/ 300790 w 365961"/>
            <a:gd name="connsiteY10" fmla="*/ 75687 h 722384"/>
            <a:gd name="connsiteX11" fmla="*/ 290764 w 365961"/>
            <a:gd name="connsiteY11" fmla="*/ 90726 h 722384"/>
            <a:gd name="connsiteX12" fmla="*/ 270711 w 365961"/>
            <a:gd name="connsiteY12" fmla="*/ 110779 h 722384"/>
            <a:gd name="connsiteX13" fmla="*/ 280737 w 365961"/>
            <a:gd name="connsiteY13" fmla="*/ 140858 h 722384"/>
            <a:gd name="connsiteX14" fmla="*/ 285750 w 365961"/>
            <a:gd name="connsiteY14" fmla="*/ 155897 h 722384"/>
            <a:gd name="connsiteX15" fmla="*/ 295777 w 365961"/>
            <a:gd name="connsiteY15" fmla="*/ 165923 h 722384"/>
            <a:gd name="connsiteX16" fmla="*/ 305803 w 365961"/>
            <a:gd name="connsiteY16" fmla="*/ 196002 h 722384"/>
            <a:gd name="connsiteX17" fmla="*/ 310816 w 365961"/>
            <a:gd name="connsiteY17" fmla="*/ 211042 h 722384"/>
            <a:gd name="connsiteX18" fmla="*/ 295777 w 365961"/>
            <a:gd name="connsiteY18" fmla="*/ 281226 h 722384"/>
            <a:gd name="connsiteX19" fmla="*/ 280737 w 365961"/>
            <a:gd name="connsiteY19" fmla="*/ 286239 h 722384"/>
            <a:gd name="connsiteX20" fmla="*/ 260685 w 365961"/>
            <a:gd name="connsiteY20" fmla="*/ 316318 h 722384"/>
            <a:gd name="connsiteX21" fmla="*/ 240632 w 365961"/>
            <a:gd name="connsiteY21" fmla="*/ 336371 h 722384"/>
            <a:gd name="connsiteX22" fmla="*/ 255671 w 365961"/>
            <a:gd name="connsiteY22" fmla="*/ 341384 h 722384"/>
            <a:gd name="connsiteX23" fmla="*/ 265698 w 365961"/>
            <a:gd name="connsiteY23" fmla="*/ 351410 h 722384"/>
            <a:gd name="connsiteX24" fmla="*/ 280737 w 365961"/>
            <a:gd name="connsiteY24" fmla="*/ 361437 h 722384"/>
            <a:gd name="connsiteX25" fmla="*/ 290764 w 365961"/>
            <a:gd name="connsiteY25" fmla="*/ 371463 h 722384"/>
            <a:gd name="connsiteX26" fmla="*/ 305803 w 365961"/>
            <a:gd name="connsiteY26" fmla="*/ 376476 h 722384"/>
            <a:gd name="connsiteX27" fmla="*/ 315829 w 365961"/>
            <a:gd name="connsiteY27" fmla="*/ 391515 h 722384"/>
            <a:gd name="connsiteX28" fmla="*/ 340895 w 365961"/>
            <a:gd name="connsiteY28" fmla="*/ 411568 h 722384"/>
            <a:gd name="connsiteX29" fmla="*/ 355935 w 365961"/>
            <a:gd name="connsiteY29" fmla="*/ 441647 h 722384"/>
            <a:gd name="connsiteX30" fmla="*/ 365961 w 365961"/>
            <a:gd name="connsiteY30" fmla="*/ 456687 h 722384"/>
            <a:gd name="connsiteX31" fmla="*/ 360948 w 365961"/>
            <a:gd name="connsiteY31" fmla="*/ 501805 h 722384"/>
            <a:gd name="connsiteX32" fmla="*/ 365961 w 365961"/>
            <a:gd name="connsiteY32" fmla="*/ 516844 h 722384"/>
            <a:gd name="connsiteX33" fmla="*/ 340895 w 365961"/>
            <a:gd name="connsiteY33" fmla="*/ 556950 h 722384"/>
            <a:gd name="connsiteX34" fmla="*/ 325856 w 365961"/>
            <a:gd name="connsiteY34" fmla="*/ 561963 h 722384"/>
            <a:gd name="connsiteX35" fmla="*/ 300790 w 365961"/>
            <a:gd name="connsiteY35" fmla="*/ 582015 h 722384"/>
            <a:gd name="connsiteX36" fmla="*/ 290764 w 365961"/>
            <a:gd name="connsiteY36" fmla="*/ 592042 h 722384"/>
            <a:gd name="connsiteX37" fmla="*/ 275724 w 365961"/>
            <a:gd name="connsiteY37" fmla="*/ 597055 h 722384"/>
            <a:gd name="connsiteX38" fmla="*/ 270711 w 365961"/>
            <a:gd name="connsiteY38" fmla="*/ 612094 h 722384"/>
            <a:gd name="connsiteX39" fmla="*/ 240632 w 365961"/>
            <a:gd name="connsiteY39" fmla="*/ 622121 h 722384"/>
            <a:gd name="connsiteX40" fmla="*/ 257801 w 365961"/>
            <a:gd name="connsiteY40" fmla="*/ 666488 h 722384"/>
            <a:gd name="connsiteX41" fmla="*/ 245144 w 365961"/>
            <a:gd name="connsiteY41" fmla="*/ 711856 h 722384"/>
            <a:gd name="connsiteX42" fmla="*/ 210553 w 365961"/>
            <a:gd name="connsiteY42" fmla="*/ 722384 h 722384"/>
            <a:gd name="connsiteX43" fmla="*/ 190500 w 365961"/>
            <a:gd name="connsiteY43" fmla="*/ 717371 h 722384"/>
            <a:gd name="connsiteX44" fmla="*/ 185487 w 365961"/>
            <a:gd name="connsiteY44" fmla="*/ 682279 h 722384"/>
            <a:gd name="connsiteX45" fmla="*/ 180474 w 365961"/>
            <a:gd name="connsiteY45" fmla="*/ 657213 h 722384"/>
            <a:gd name="connsiteX46" fmla="*/ 175461 w 365961"/>
            <a:gd name="connsiteY46" fmla="*/ 627134 h 722384"/>
            <a:gd name="connsiteX47" fmla="*/ 170448 w 365961"/>
            <a:gd name="connsiteY47" fmla="*/ 607081 h 722384"/>
            <a:gd name="connsiteX48" fmla="*/ 165435 w 365961"/>
            <a:gd name="connsiteY48" fmla="*/ 577002 h 722384"/>
            <a:gd name="connsiteX49" fmla="*/ 155659 w 365961"/>
            <a:gd name="connsiteY49" fmla="*/ 571488 h 722384"/>
            <a:gd name="connsiteX50" fmla="*/ 145382 w 365961"/>
            <a:gd name="connsiteY50" fmla="*/ 556950 h 722384"/>
            <a:gd name="connsiteX51" fmla="*/ 140369 w 365961"/>
            <a:gd name="connsiteY51" fmla="*/ 541910 h 722384"/>
            <a:gd name="connsiteX52" fmla="*/ 115303 w 365961"/>
            <a:gd name="connsiteY52" fmla="*/ 521858 h 722384"/>
            <a:gd name="connsiteX53" fmla="*/ 95250 w 365961"/>
            <a:gd name="connsiteY53" fmla="*/ 496792 h 722384"/>
            <a:gd name="connsiteX54" fmla="*/ 90237 w 365961"/>
            <a:gd name="connsiteY54" fmla="*/ 481752 h 722384"/>
            <a:gd name="connsiteX55" fmla="*/ 40106 w 365961"/>
            <a:gd name="connsiteY55" fmla="*/ 456687 h 722384"/>
            <a:gd name="connsiteX56" fmla="*/ 30079 w 365961"/>
            <a:gd name="connsiteY56" fmla="*/ 446660 h 722384"/>
            <a:gd name="connsiteX57" fmla="*/ 15040 w 365961"/>
            <a:gd name="connsiteY57" fmla="*/ 436634 h 722384"/>
            <a:gd name="connsiteX58" fmla="*/ 0 w 365961"/>
            <a:gd name="connsiteY58" fmla="*/ 386502 h 722384"/>
            <a:gd name="connsiteX59" fmla="*/ 5014 w 365961"/>
            <a:gd name="connsiteY59" fmla="*/ 341384 h 722384"/>
            <a:gd name="connsiteX60" fmla="*/ 40106 w 365961"/>
            <a:gd name="connsiteY60" fmla="*/ 301279 h 722384"/>
            <a:gd name="connsiteX61" fmla="*/ 60158 w 365961"/>
            <a:gd name="connsiteY61" fmla="*/ 261173 h 722384"/>
            <a:gd name="connsiteX62" fmla="*/ 65171 w 365961"/>
            <a:gd name="connsiteY62" fmla="*/ 241121 h 722384"/>
            <a:gd name="connsiteX63" fmla="*/ 70185 w 365961"/>
            <a:gd name="connsiteY63" fmla="*/ 226081 h 722384"/>
            <a:gd name="connsiteX64" fmla="*/ 55145 w 365961"/>
            <a:gd name="connsiteY64" fmla="*/ 155897 h 722384"/>
            <a:gd name="connsiteX65" fmla="*/ 45119 w 365961"/>
            <a:gd name="connsiteY65" fmla="*/ 90726 h 722384"/>
            <a:gd name="connsiteX66" fmla="*/ 65171 w 365961"/>
            <a:gd name="connsiteY66" fmla="*/ 40594 h 722384"/>
            <a:gd name="connsiteX0" fmla="*/ 65171 w 365961"/>
            <a:gd name="connsiteY0" fmla="*/ 40594 h 722384"/>
            <a:gd name="connsiteX1" fmla="*/ 120316 w 365961"/>
            <a:gd name="connsiteY1" fmla="*/ 20542 h 722384"/>
            <a:gd name="connsiteX2" fmla="*/ 135356 w 365961"/>
            <a:gd name="connsiteY2" fmla="*/ 15529 h 722384"/>
            <a:gd name="connsiteX3" fmla="*/ 150395 w 365961"/>
            <a:gd name="connsiteY3" fmla="*/ 5502 h 722384"/>
            <a:gd name="connsiteX4" fmla="*/ 210553 w 365961"/>
            <a:gd name="connsiteY4" fmla="*/ 5502 h 722384"/>
            <a:gd name="connsiteX5" fmla="*/ 220579 w 365961"/>
            <a:gd name="connsiteY5" fmla="*/ 15529 h 722384"/>
            <a:gd name="connsiteX6" fmla="*/ 235619 w 365961"/>
            <a:gd name="connsiteY6" fmla="*/ 65660 h 722384"/>
            <a:gd name="connsiteX7" fmla="*/ 250658 w 365961"/>
            <a:gd name="connsiteY7" fmla="*/ 50621 h 722384"/>
            <a:gd name="connsiteX8" fmla="*/ 295777 w 365961"/>
            <a:gd name="connsiteY8" fmla="*/ 40594 h 722384"/>
            <a:gd name="connsiteX9" fmla="*/ 320842 w 365961"/>
            <a:gd name="connsiteY9" fmla="*/ 45608 h 722384"/>
            <a:gd name="connsiteX10" fmla="*/ 300790 w 365961"/>
            <a:gd name="connsiteY10" fmla="*/ 75687 h 722384"/>
            <a:gd name="connsiteX11" fmla="*/ 290764 w 365961"/>
            <a:gd name="connsiteY11" fmla="*/ 90726 h 722384"/>
            <a:gd name="connsiteX12" fmla="*/ 270711 w 365961"/>
            <a:gd name="connsiteY12" fmla="*/ 110779 h 722384"/>
            <a:gd name="connsiteX13" fmla="*/ 280737 w 365961"/>
            <a:gd name="connsiteY13" fmla="*/ 140858 h 722384"/>
            <a:gd name="connsiteX14" fmla="*/ 285750 w 365961"/>
            <a:gd name="connsiteY14" fmla="*/ 155897 h 722384"/>
            <a:gd name="connsiteX15" fmla="*/ 295777 w 365961"/>
            <a:gd name="connsiteY15" fmla="*/ 165923 h 722384"/>
            <a:gd name="connsiteX16" fmla="*/ 305803 w 365961"/>
            <a:gd name="connsiteY16" fmla="*/ 196002 h 722384"/>
            <a:gd name="connsiteX17" fmla="*/ 310816 w 365961"/>
            <a:gd name="connsiteY17" fmla="*/ 211042 h 722384"/>
            <a:gd name="connsiteX18" fmla="*/ 295777 w 365961"/>
            <a:gd name="connsiteY18" fmla="*/ 281226 h 722384"/>
            <a:gd name="connsiteX19" fmla="*/ 280737 w 365961"/>
            <a:gd name="connsiteY19" fmla="*/ 286239 h 722384"/>
            <a:gd name="connsiteX20" fmla="*/ 260685 w 365961"/>
            <a:gd name="connsiteY20" fmla="*/ 316318 h 722384"/>
            <a:gd name="connsiteX21" fmla="*/ 240632 w 365961"/>
            <a:gd name="connsiteY21" fmla="*/ 336371 h 722384"/>
            <a:gd name="connsiteX22" fmla="*/ 255671 w 365961"/>
            <a:gd name="connsiteY22" fmla="*/ 341384 h 722384"/>
            <a:gd name="connsiteX23" fmla="*/ 265698 w 365961"/>
            <a:gd name="connsiteY23" fmla="*/ 351410 h 722384"/>
            <a:gd name="connsiteX24" fmla="*/ 280737 w 365961"/>
            <a:gd name="connsiteY24" fmla="*/ 361437 h 722384"/>
            <a:gd name="connsiteX25" fmla="*/ 290764 w 365961"/>
            <a:gd name="connsiteY25" fmla="*/ 371463 h 722384"/>
            <a:gd name="connsiteX26" fmla="*/ 305803 w 365961"/>
            <a:gd name="connsiteY26" fmla="*/ 376476 h 722384"/>
            <a:gd name="connsiteX27" fmla="*/ 315829 w 365961"/>
            <a:gd name="connsiteY27" fmla="*/ 391515 h 722384"/>
            <a:gd name="connsiteX28" fmla="*/ 340895 w 365961"/>
            <a:gd name="connsiteY28" fmla="*/ 411568 h 722384"/>
            <a:gd name="connsiteX29" fmla="*/ 355935 w 365961"/>
            <a:gd name="connsiteY29" fmla="*/ 441647 h 722384"/>
            <a:gd name="connsiteX30" fmla="*/ 365961 w 365961"/>
            <a:gd name="connsiteY30" fmla="*/ 456687 h 722384"/>
            <a:gd name="connsiteX31" fmla="*/ 360948 w 365961"/>
            <a:gd name="connsiteY31" fmla="*/ 501805 h 722384"/>
            <a:gd name="connsiteX32" fmla="*/ 365961 w 365961"/>
            <a:gd name="connsiteY32" fmla="*/ 516844 h 722384"/>
            <a:gd name="connsiteX33" fmla="*/ 340895 w 365961"/>
            <a:gd name="connsiteY33" fmla="*/ 556950 h 722384"/>
            <a:gd name="connsiteX34" fmla="*/ 325856 w 365961"/>
            <a:gd name="connsiteY34" fmla="*/ 561963 h 722384"/>
            <a:gd name="connsiteX35" fmla="*/ 300790 w 365961"/>
            <a:gd name="connsiteY35" fmla="*/ 582015 h 722384"/>
            <a:gd name="connsiteX36" fmla="*/ 290764 w 365961"/>
            <a:gd name="connsiteY36" fmla="*/ 592042 h 722384"/>
            <a:gd name="connsiteX37" fmla="*/ 275724 w 365961"/>
            <a:gd name="connsiteY37" fmla="*/ 597055 h 722384"/>
            <a:gd name="connsiteX38" fmla="*/ 270711 w 365961"/>
            <a:gd name="connsiteY38" fmla="*/ 612094 h 722384"/>
            <a:gd name="connsiteX39" fmla="*/ 240632 w 365961"/>
            <a:gd name="connsiteY39" fmla="*/ 622121 h 722384"/>
            <a:gd name="connsiteX40" fmla="*/ 257801 w 365961"/>
            <a:gd name="connsiteY40" fmla="*/ 666488 h 722384"/>
            <a:gd name="connsiteX41" fmla="*/ 245144 w 365961"/>
            <a:gd name="connsiteY41" fmla="*/ 711856 h 722384"/>
            <a:gd name="connsiteX42" fmla="*/ 210553 w 365961"/>
            <a:gd name="connsiteY42" fmla="*/ 722384 h 722384"/>
            <a:gd name="connsiteX43" fmla="*/ 190500 w 365961"/>
            <a:gd name="connsiteY43" fmla="*/ 717371 h 722384"/>
            <a:gd name="connsiteX44" fmla="*/ 185487 w 365961"/>
            <a:gd name="connsiteY44" fmla="*/ 682279 h 722384"/>
            <a:gd name="connsiteX45" fmla="*/ 180474 w 365961"/>
            <a:gd name="connsiteY45" fmla="*/ 657213 h 722384"/>
            <a:gd name="connsiteX46" fmla="*/ 175461 w 365961"/>
            <a:gd name="connsiteY46" fmla="*/ 627134 h 722384"/>
            <a:gd name="connsiteX47" fmla="*/ 170448 w 365961"/>
            <a:gd name="connsiteY47" fmla="*/ 607081 h 722384"/>
            <a:gd name="connsiteX48" fmla="*/ 165435 w 365961"/>
            <a:gd name="connsiteY48" fmla="*/ 577002 h 722384"/>
            <a:gd name="connsiteX49" fmla="*/ 155659 w 365961"/>
            <a:gd name="connsiteY49" fmla="*/ 571488 h 722384"/>
            <a:gd name="connsiteX50" fmla="*/ 145382 w 365961"/>
            <a:gd name="connsiteY50" fmla="*/ 556950 h 722384"/>
            <a:gd name="connsiteX51" fmla="*/ 130844 w 365961"/>
            <a:gd name="connsiteY51" fmla="*/ 544291 h 722384"/>
            <a:gd name="connsiteX52" fmla="*/ 115303 w 365961"/>
            <a:gd name="connsiteY52" fmla="*/ 521858 h 722384"/>
            <a:gd name="connsiteX53" fmla="*/ 95250 w 365961"/>
            <a:gd name="connsiteY53" fmla="*/ 496792 h 722384"/>
            <a:gd name="connsiteX54" fmla="*/ 90237 w 365961"/>
            <a:gd name="connsiteY54" fmla="*/ 481752 h 722384"/>
            <a:gd name="connsiteX55" fmla="*/ 40106 w 365961"/>
            <a:gd name="connsiteY55" fmla="*/ 456687 h 722384"/>
            <a:gd name="connsiteX56" fmla="*/ 30079 w 365961"/>
            <a:gd name="connsiteY56" fmla="*/ 446660 h 722384"/>
            <a:gd name="connsiteX57" fmla="*/ 15040 w 365961"/>
            <a:gd name="connsiteY57" fmla="*/ 436634 h 722384"/>
            <a:gd name="connsiteX58" fmla="*/ 0 w 365961"/>
            <a:gd name="connsiteY58" fmla="*/ 386502 h 722384"/>
            <a:gd name="connsiteX59" fmla="*/ 5014 w 365961"/>
            <a:gd name="connsiteY59" fmla="*/ 341384 h 722384"/>
            <a:gd name="connsiteX60" fmla="*/ 40106 w 365961"/>
            <a:gd name="connsiteY60" fmla="*/ 301279 h 722384"/>
            <a:gd name="connsiteX61" fmla="*/ 60158 w 365961"/>
            <a:gd name="connsiteY61" fmla="*/ 261173 h 722384"/>
            <a:gd name="connsiteX62" fmla="*/ 65171 w 365961"/>
            <a:gd name="connsiteY62" fmla="*/ 241121 h 722384"/>
            <a:gd name="connsiteX63" fmla="*/ 70185 w 365961"/>
            <a:gd name="connsiteY63" fmla="*/ 226081 h 722384"/>
            <a:gd name="connsiteX64" fmla="*/ 55145 w 365961"/>
            <a:gd name="connsiteY64" fmla="*/ 155897 h 722384"/>
            <a:gd name="connsiteX65" fmla="*/ 45119 w 365961"/>
            <a:gd name="connsiteY65" fmla="*/ 90726 h 722384"/>
            <a:gd name="connsiteX66" fmla="*/ 65171 w 365961"/>
            <a:gd name="connsiteY66" fmla="*/ 40594 h 722384"/>
            <a:gd name="connsiteX0" fmla="*/ 65171 w 365961"/>
            <a:gd name="connsiteY0" fmla="*/ 40594 h 722384"/>
            <a:gd name="connsiteX1" fmla="*/ 120316 w 365961"/>
            <a:gd name="connsiteY1" fmla="*/ 20542 h 722384"/>
            <a:gd name="connsiteX2" fmla="*/ 135356 w 365961"/>
            <a:gd name="connsiteY2" fmla="*/ 15529 h 722384"/>
            <a:gd name="connsiteX3" fmla="*/ 150395 w 365961"/>
            <a:gd name="connsiteY3" fmla="*/ 5502 h 722384"/>
            <a:gd name="connsiteX4" fmla="*/ 210553 w 365961"/>
            <a:gd name="connsiteY4" fmla="*/ 5502 h 722384"/>
            <a:gd name="connsiteX5" fmla="*/ 220579 w 365961"/>
            <a:gd name="connsiteY5" fmla="*/ 15529 h 722384"/>
            <a:gd name="connsiteX6" fmla="*/ 235619 w 365961"/>
            <a:gd name="connsiteY6" fmla="*/ 65660 h 722384"/>
            <a:gd name="connsiteX7" fmla="*/ 250658 w 365961"/>
            <a:gd name="connsiteY7" fmla="*/ 50621 h 722384"/>
            <a:gd name="connsiteX8" fmla="*/ 295777 w 365961"/>
            <a:gd name="connsiteY8" fmla="*/ 40594 h 722384"/>
            <a:gd name="connsiteX9" fmla="*/ 320842 w 365961"/>
            <a:gd name="connsiteY9" fmla="*/ 45608 h 722384"/>
            <a:gd name="connsiteX10" fmla="*/ 300790 w 365961"/>
            <a:gd name="connsiteY10" fmla="*/ 75687 h 722384"/>
            <a:gd name="connsiteX11" fmla="*/ 290764 w 365961"/>
            <a:gd name="connsiteY11" fmla="*/ 90726 h 722384"/>
            <a:gd name="connsiteX12" fmla="*/ 270711 w 365961"/>
            <a:gd name="connsiteY12" fmla="*/ 110779 h 722384"/>
            <a:gd name="connsiteX13" fmla="*/ 280737 w 365961"/>
            <a:gd name="connsiteY13" fmla="*/ 140858 h 722384"/>
            <a:gd name="connsiteX14" fmla="*/ 285750 w 365961"/>
            <a:gd name="connsiteY14" fmla="*/ 155897 h 722384"/>
            <a:gd name="connsiteX15" fmla="*/ 295777 w 365961"/>
            <a:gd name="connsiteY15" fmla="*/ 165923 h 722384"/>
            <a:gd name="connsiteX16" fmla="*/ 305803 w 365961"/>
            <a:gd name="connsiteY16" fmla="*/ 196002 h 722384"/>
            <a:gd name="connsiteX17" fmla="*/ 310816 w 365961"/>
            <a:gd name="connsiteY17" fmla="*/ 211042 h 722384"/>
            <a:gd name="connsiteX18" fmla="*/ 295777 w 365961"/>
            <a:gd name="connsiteY18" fmla="*/ 281226 h 722384"/>
            <a:gd name="connsiteX19" fmla="*/ 280737 w 365961"/>
            <a:gd name="connsiteY19" fmla="*/ 286239 h 722384"/>
            <a:gd name="connsiteX20" fmla="*/ 260685 w 365961"/>
            <a:gd name="connsiteY20" fmla="*/ 316318 h 722384"/>
            <a:gd name="connsiteX21" fmla="*/ 240632 w 365961"/>
            <a:gd name="connsiteY21" fmla="*/ 336371 h 722384"/>
            <a:gd name="connsiteX22" fmla="*/ 255671 w 365961"/>
            <a:gd name="connsiteY22" fmla="*/ 341384 h 722384"/>
            <a:gd name="connsiteX23" fmla="*/ 265698 w 365961"/>
            <a:gd name="connsiteY23" fmla="*/ 351410 h 722384"/>
            <a:gd name="connsiteX24" fmla="*/ 280737 w 365961"/>
            <a:gd name="connsiteY24" fmla="*/ 361437 h 722384"/>
            <a:gd name="connsiteX25" fmla="*/ 290764 w 365961"/>
            <a:gd name="connsiteY25" fmla="*/ 371463 h 722384"/>
            <a:gd name="connsiteX26" fmla="*/ 305803 w 365961"/>
            <a:gd name="connsiteY26" fmla="*/ 376476 h 722384"/>
            <a:gd name="connsiteX27" fmla="*/ 315829 w 365961"/>
            <a:gd name="connsiteY27" fmla="*/ 391515 h 722384"/>
            <a:gd name="connsiteX28" fmla="*/ 340895 w 365961"/>
            <a:gd name="connsiteY28" fmla="*/ 411568 h 722384"/>
            <a:gd name="connsiteX29" fmla="*/ 355935 w 365961"/>
            <a:gd name="connsiteY29" fmla="*/ 441647 h 722384"/>
            <a:gd name="connsiteX30" fmla="*/ 365961 w 365961"/>
            <a:gd name="connsiteY30" fmla="*/ 456687 h 722384"/>
            <a:gd name="connsiteX31" fmla="*/ 360948 w 365961"/>
            <a:gd name="connsiteY31" fmla="*/ 501805 h 722384"/>
            <a:gd name="connsiteX32" fmla="*/ 365961 w 365961"/>
            <a:gd name="connsiteY32" fmla="*/ 516844 h 722384"/>
            <a:gd name="connsiteX33" fmla="*/ 340895 w 365961"/>
            <a:gd name="connsiteY33" fmla="*/ 556950 h 722384"/>
            <a:gd name="connsiteX34" fmla="*/ 325856 w 365961"/>
            <a:gd name="connsiteY34" fmla="*/ 561963 h 722384"/>
            <a:gd name="connsiteX35" fmla="*/ 300790 w 365961"/>
            <a:gd name="connsiteY35" fmla="*/ 582015 h 722384"/>
            <a:gd name="connsiteX36" fmla="*/ 290764 w 365961"/>
            <a:gd name="connsiteY36" fmla="*/ 592042 h 722384"/>
            <a:gd name="connsiteX37" fmla="*/ 275724 w 365961"/>
            <a:gd name="connsiteY37" fmla="*/ 597055 h 722384"/>
            <a:gd name="connsiteX38" fmla="*/ 270711 w 365961"/>
            <a:gd name="connsiteY38" fmla="*/ 612094 h 722384"/>
            <a:gd name="connsiteX39" fmla="*/ 240632 w 365961"/>
            <a:gd name="connsiteY39" fmla="*/ 622121 h 722384"/>
            <a:gd name="connsiteX40" fmla="*/ 257801 w 365961"/>
            <a:gd name="connsiteY40" fmla="*/ 666488 h 722384"/>
            <a:gd name="connsiteX41" fmla="*/ 245144 w 365961"/>
            <a:gd name="connsiteY41" fmla="*/ 711856 h 722384"/>
            <a:gd name="connsiteX42" fmla="*/ 210553 w 365961"/>
            <a:gd name="connsiteY42" fmla="*/ 722384 h 722384"/>
            <a:gd name="connsiteX43" fmla="*/ 190500 w 365961"/>
            <a:gd name="connsiteY43" fmla="*/ 717371 h 722384"/>
            <a:gd name="connsiteX44" fmla="*/ 185487 w 365961"/>
            <a:gd name="connsiteY44" fmla="*/ 682279 h 722384"/>
            <a:gd name="connsiteX45" fmla="*/ 180474 w 365961"/>
            <a:gd name="connsiteY45" fmla="*/ 657213 h 722384"/>
            <a:gd name="connsiteX46" fmla="*/ 175461 w 365961"/>
            <a:gd name="connsiteY46" fmla="*/ 627134 h 722384"/>
            <a:gd name="connsiteX47" fmla="*/ 170448 w 365961"/>
            <a:gd name="connsiteY47" fmla="*/ 607081 h 722384"/>
            <a:gd name="connsiteX48" fmla="*/ 165435 w 365961"/>
            <a:gd name="connsiteY48" fmla="*/ 577002 h 722384"/>
            <a:gd name="connsiteX49" fmla="*/ 155659 w 365961"/>
            <a:gd name="connsiteY49" fmla="*/ 571488 h 722384"/>
            <a:gd name="connsiteX50" fmla="*/ 145382 w 365961"/>
            <a:gd name="connsiteY50" fmla="*/ 556950 h 722384"/>
            <a:gd name="connsiteX51" fmla="*/ 130844 w 365961"/>
            <a:gd name="connsiteY51" fmla="*/ 544291 h 722384"/>
            <a:gd name="connsiteX52" fmla="*/ 105778 w 365961"/>
            <a:gd name="connsiteY52" fmla="*/ 524239 h 722384"/>
            <a:gd name="connsiteX53" fmla="*/ 95250 w 365961"/>
            <a:gd name="connsiteY53" fmla="*/ 496792 h 722384"/>
            <a:gd name="connsiteX54" fmla="*/ 90237 w 365961"/>
            <a:gd name="connsiteY54" fmla="*/ 481752 h 722384"/>
            <a:gd name="connsiteX55" fmla="*/ 40106 w 365961"/>
            <a:gd name="connsiteY55" fmla="*/ 456687 h 722384"/>
            <a:gd name="connsiteX56" fmla="*/ 30079 w 365961"/>
            <a:gd name="connsiteY56" fmla="*/ 446660 h 722384"/>
            <a:gd name="connsiteX57" fmla="*/ 15040 w 365961"/>
            <a:gd name="connsiteY57" fmla="*/ 436634 h 722384"/>
            <a:gd name="connsiteX58" fmla="*/ 0 w 365961"/>
            <a:gd name="connsiteY58" fmla="*/ 386502 h 722384"/>
            <a:gd name="connsiteX59" fmla="*/ 5014 w 365961"/>
            <a:gd name="connsiteY59" fmla="*/ 341384 h 722384"/>
            <a:gd name="connsiteX60" fmla="*/ 40106 w 365961"/>
            <a:gd name="connsiteY60" fmla="*/ 301279 h 722384"/>
            <a:gd name="connsiteX61" fmla="*/ 60158 w 365961"/>
            <a:gd name="connsiteY61" fmla="*/ 261173 h 722384"/>
            <a:gd name="connsiteX62" fmla="*/ 65171 w 365961"/>
            <a:gd name="connsiteY62" fmla="*/ 241121 h 722384"/>
            <a:gd name="connsiteX63" fmla="*/ 70185 w 365961"/>
            <a:gd name="connsiteY63" fmla="*/ 226081 h 722384"/>
            <a:gd name="connsiteX64" fmla="*/ 55145 w 365961"/>
            <a:gd name="connsiteY64" fmla="*/ 155897 h 722384"/>
            <a:gd name="connsiteX65" fmla="*/ 45119 w 365961"/>
            <a:gd name="connsiteY65" fmla="*/ 90726 h 722384"/>
            <a:gd name="connsiteX66" fmla="*/ 65171 w 365961"/>
            <a:gd name="connsiteY66" fmla="*/ 40594 h 722384"/>
            <a:gd name="connsiteX0" fmla="*/ 65171 w 368343"/>
            <a:gd name="connsiteY0" fmla="*/ 40594 h 722384"/>
            <a:gd name="connsiteX1" fmla="*/ 120316 w 368343"/>
            <a:gd name="connsiteY1" fmla="*/ 20542 h 722384"/>
            <a:gd name="connsiteX2" fmla="*/ 135356 w 368343"/>
            <a:gd name="connsiteY2" fmla="*/ 15529 h 722384"/>
            <a:gd name="connsiteX3" fmla="*/ 150395 w 368343"/>
            <a:gd name="connsiteY3" fmla="*/ 5502 h 722384"/>
            <a:gd name="connsiteX4" fmla="*/ 210553 w 368343"/>
            <a:gd name="connsiteY4" fmla="*/ 5502 h 722384"/>
            <a:gd name="connsiteX5" fmla="*/ 220579 w 368343"/>
            <a:gd name="connsiteY5" fmla="*/ 15529 h 722384"/>
            <a:gd name="connsiteX6" fmla="*/ 235619 w 368343"/>
            <a:gd name="connsiteY6" fmla="*/ 65660 h 722384"/>
            <a:gd name="connsiteX7" fmla="*/ 250658 w 368343"/>
            <a:gd name="connsiteY7" fmla="*/ 50621 h 722384"/>
            <a:gd name="connsiteX8" fmla="*/ 295777 w 368343"/>
            <a:gd name="connsiteY8" fmla="*/ 40594 h 722384"/>
            <a:gd name="connsiteX9" fmla="*/ 320842 w 368343"/>
            <a:gd name="connsiteY9" fmla="*/ 45608 h 722384"/>
            <a:gd name="connsiteX10" fmla="*/ 300790 w 368343"/>
            <a:gd name="connsiteY10" fmla="*/ 75687 h 722384"/>
            <a:gd name="connsiteX11" fmla="*/ 290764 w 368343"/>
            <a:gd name="connsiteY11" fmla="*/ 90726 h 722384"/>
            <a:gd name="connsiteX12" fmla="*/ 270711 w 368343"/>
            <a:gd name="connsiteY12" fmla="*/ 110779 h 722384"/>
            <a:gd name="connsiteX13" fmla="*/ 280737 w 368343"/>
            <a:gd name="connsiteY13" fmla="*/ 140858 h 722384"/>
            <a:gd name="connsiteX14" fmla="*/ 285750 w 368343"/>
            <a:gd name="connsiteY14" fmla="*/ 155897 h 722384"/>
            <a:gd name="connsiteX15" fmla="*/ 295777 w 368343"/>
            <a:gd name="connsiteY15" fmla="*/ 165923 h 722384"/>
            <a:gd name="connsiteX16" fmla="*/ 305803 w 368343"/>
            <a:gd name="connsiteY16" fmla="*/ 196002 h 722384"/>
            <a:gd name="connsiteX17" fmla="*/ 310816 w 368343"/>
            <a:gd name="connsiteY17" fmla="*/ 211042 h 722384"/>
            <a:gd name="connsiteX18" fmla="*/ 295777 w 368343"/>
            <a:gd name="connsiteY18" fmla="*/ 281226 h 722384"/>
            <a:gd name="connsiteX19" fmla="*/ 280737 w 368343"/>
            <a:gd name="connsiteY19" fmla="*/ 286239 h 722384"/>
            <a:gd name="connsiteX20" fmla="*/ 260685 w 368343"/>
            <a:gd name="connsiteY20" fmla="*/ 316318 h 722384"/>
            <a:gd name="connsiteX21" fmla="*/ 240632 w 368343"/>
            <a:gd name="connsiteY21" fmla="*/ 336371 h 722384"/>
            <a:gd name="connsiteX22" fmla="*/ 255671 w 368343"/>
            <a:gd name="connsiteY22" fmla="*/ 341384 h 722384"/>
            <a:gd name="connsiteX23" fmla="*/ 265698 w 368343"/>
            <a:gd name="connsiteY23" fmla="*/ 351410 h 722384"/>
            <a:gd name="connsiteX24" fmla="*/ 280737 w 368343"/>
            <a:gd name="connsiteY24" fmla="*/ 361437 h 722384"/>
            <a:gd name="connsiteX25" fmla="*/ 290764 w 368343"/>
            <a:gd name="connsiteY25" fmla="*/ 371463 h 722384"/>
            <a:gd name="connsiteX26" fmla="*/ 305803 w 368343"/>
            <a:gd name="connsiteY26" fmla="*/ 376476 h 722384"/>
            <a:gd name="connsiteX27" fmla="*/ 315829 w 368343"/>
            <a:gd name="connsiteY27" fmla="*/ 391515 h 722384"/>
            <a:gd name="connsiteX28" fmla="*/ 340895 w 368343"/>
            <a:gd name="connsiteY28" fmla="*/ 411568 h 722384"/>
            <a:gd name="connsiteX29" fmla="*/ 355935 w 368343"/>
            <a:gd name="connsiteY29" fmla="*/ 441647 h 722384"/>
            <a:gd name="connsiteX30" fmla="*/ 365961 w 368343"/>
            <a:gd name="connsiteY30" fmla="*/ 456687 h 722384"/>
            <a:gd name="connsiteX31" fmla="*/ 360948 w 368343"/>
            <a:gd name="connsiteY31" fmla="*/ 501805 h 722384"/>
            <a:gd name="connsiteX32" fmla="*/ 368343 w 368343"/>
            <a:gd name="connsiteY32" fmla="*/ 523988 h 722384"/>
            <a:gd name="connsiteX33" fmla="*/ 340895 w 368343"/>
            <a:gd name="connsiteY33" fmla="*/ 556950 h 722384"/>
            <a:gd name="connsiteX34" fmla="*/ 325856 w 368343"/>
            <a:gd name="connsiteY34" fmla="*/ 561963 h 722384"/>
            <a:gd name="connsiteX35" fmla="*/ 300790 w 368343"/>
            <a:gd name="connsiteY35" fmla="*/ 582015 h 722384"/>
            <a:gd name="connsiteX36" fmla="*/ 290764 w 368343"/>
            <a:gd name="connsiteY36" fmla="*/ 592042 h 722384"/>
            <a:gd name="connsiteX37" fmla="*/ 275724 w 368343"/>
            <a:gd name="connsiteY37" fmla="*/ 597055 h 722384"/>
            <a:gd name="connsiteX38" fmla="*/ 270711 w 368343"/>
            <a:gd name="connsiteY38" fmla="*/ 612094 h 722384"/>
            <a:gd name="connsiteX39" fmla="*/ 240632 w 368343"/>
            <a:gd name="connsiteY39" fmla="*/ 622121 h 722384"/>
            <a:gd name="connsiteX40" fmla="*/ 257801 w 368343"/>
            <a:gd name="connsiteY40" fmla="*/ 666488 h 722384"/>
            <a:gd name="connsiteX41" fmla="*/ 245144 w 368343"/>
            <a:gd name="connsiteY41" fmla="*/ 711856 h 722384"/>
            <a:gd name="connsiteX42" fmla="*/ 210553 w 368343"/>
            <a:gd name="connsiteY42" fmla="*/ 722384 h 722384"/>
            <a:gd name="connsiteX43" fmla="*/ 190500 w 368343"/>
            <a:gd name="connsiteY43" fmla="*/ 717371 h 722384"/>
            <a:gd name="connsiteX44" fmla="*/ 185487 w 368343"/>
            <a:gd name="connsiteY44" fmla="*/ 682279 h 722384"/>
            <a:gd name="connsiteX45" fmla="*/ 180474 w 368343"/>
            <a:gd name="connsiteY45" fmla="*/ 657213 h 722384"/>
            <a:gd name="connsiteX46" fmla="*/ 175461 w 368343"/>
            <a:gd name="connsiteY46" fmla="*/ 627134 h 722384"/>
            <a:gd name="connsiteX47" fmla="*/ 170448 w 368343"/>
            <a:gd name="connsiteY47" fmla="*/ 607081 h 722384"/>
            <a:gd name="connsiteX48" fmla="*/ 165435 w 368343"/>
            <a:gd name="connsiteY48" fmla="*/ 577002 h 722384"/>
            <a:gd name="connsiteX49" fmla="*/ 155659 w 368343"/>
            <a:gd name="connsiteY49" fmla="*/ 571488 h 722384"/>
            <a:gd name="connsiteX50" fmla="*/ 145382 w 368343"/>
            <a:gd name="connsiteY50" fmla="*/ 556950 h 722384"/>
            <a:gd name="connsiteX51" fmla="*/ 130844 w 368343"/>
            <a:gd name="connsiteY51" fmla="*/ 544291 h 722384"/>
            <a:gd name="connsiteX52" fmla="*/ 105778 w 368343"/>
            <a:gd name="connsiteY52" fmla="*/ 524239 h 722384"/>
            <a:gd name="connsiteX53" fmla="*/ 95250 w 368343"/>
            <a:gd name="connsiteY53" fmla="*/ 496792 h 722384"/>
            <a:gd name="connsiteX54" fmla="*/ 90237 w 368343"/>
            <a:gd name="connsiteY54" fmla="*/ 481752 h 722384"/>
            <a:gd name="connsiteX55" fmla="*/ 40106 w 368343"/>
            <a:gd name="connsiteY55" fmla="*/ 456687 h 722384"/>
            <a:gd name="connsiteX56" fmla="*/ 30079 w 368343"/>
            <a:gd name="connsiteY56" fmla="*/ 446660 h 722384"/>
            <a:gd name="connsiteX57" fmla="*/ 15040 w 368343"/>
            <a:gd name="connsiteY57" fmla="*/ 436634 h 722384"/>
            <a:gd name="connsiteX58" fmla="*/ 0 w 368343"/>
            <a:gd name="connsiteY58" fmla="*/ 386502 h 722384"/>
            <a:gd name="connsiteX59" fmla="*/ 5014 w 368343"/>
            <a:gd name="connsiteY59" fmla="*/ 341384 h 722384"/>
            <a:gd name="connsiteX60" fmla="*/ 40106 w 368343"/>
            <a:gd name="connsiteY60" fmla="*/ 301279 h 722384"/>
            <a:gd name="connsiteX61" fmla="*/ 60158 w 368343"/>
            <a:gd name="connsiteY61" fmla="*/ 261173 h 722384"/>
            <a:gd name="connsiteX62" fmla="*/ 65171 w 368343"/>
            <a:gd name="connsiteY62" fmla="*/ 241121 h 722384"/>
            <a:gd name="connsiteX63" fmla="*/ 70185 w 368343"/>
            <a:gd name="connsiteY63" fmla="*/ 226081 h 722384"/>
            <a:gd name="connsiteX64" fmla="*/ 55145 w 368343"/>
            <a:gd name="connsiteY64" fmla="*/ 155897 h 722384"/>
            <a:gd name="connsiteX65" fmla="*/ 45119 w 368343"/>
            <a:gd name="connsiteY65" fmla="*/ 90726 h 722384"/>
            <a:gd name="connsiteX66" fmla="*/ 65171 w 368343"/>
            <a:gd name="connsiteY66" fmla="*/ 40594 h 722384"/>
            <a:gd name="connsiteX0" fmla="*/ 65171 w 371406"/>
            <a:gd name="connsiteY0" fmla="*/ 40594 h 722384"/>
            <a:gd name="connsiteX1" fmla="*/ 120316 w 371406"/>
            <a:gd name="connsiteY1" fmla="*/ 20542 h 722384"/>
            <a:gd name="connsiteX2" fmla="*/ 135356 w 371406"/>
            <a:gd name="connsiteY2" fmla="*/ 15529 h 722384"/>
            <a:gd name="connsiteX3" fmla="*/ 150395 w 371406"/>
            <a:gd name="connsiteY3" fmla="*/ 5502 h 722384"/>
            <a:gd name="connsiteX4" fmla="*/ 210553 w 371406"/>
            <a:gd name="connsiteY4" fmla="*/ 5502 h 722384"/>
            <a:gd name="connsiteX5" fmla="*/ 220579 w 371406"/>
            <a:gd name="connsiteY5" fmla="*/ 15529 h 722384"/>
            <a:gd name="connsiteX6" fmla="*/ 235619 w 371406"/>
            <a:gd name="connsiteY6" fmla="*/ 65660 h 722384"/>
            <a:gd name="connsiteX7" fmla="*/ 250658 w 371406"/>
            <a:gd name="connsiteY7" fmla="*/ 50621 h 722384"/>
            <a:gd name="connsiteX8" fmla="*/ 295777 w 371406"/>
            <a:gd name="connsiteY8" fmla="*/ 40594 h 722384"/>
            <a:gd name="connsiteX9" fmla="*/ 320842 w 371406"/>
            <a:gd name="connsiteY9" fmla="*/ 45608 h 722384"/>
            <a:gd name="connsiteX10" fmla="*/ 300790 w 371406"/>
            <a:gd name="connsiteY10" fmla="*/ 75687 h 722384"/>
            <a:gd name="connsiteX11" fmla="*/ 290764 w 371406"/>
            <a:gd name="connsiteY11" fmla="*/ 90726 h 722384"/>
            <a:gd name="connsiteX12" fmla="*/ 270711 w 371406"/>
            <a:gd name="connsiteY12" fmla="*/ 110779 h 722384"/>
            <a:gd name="connsiteX13" fmla="*/ 280737 w 371406"/>
            <a:gd name="connsiteY13" fmla="*/ 140858 h 722384"/>
            <a:gd name="connsiteX14" fmla="*/ 285750 w 371406"/>
            <a:gd name="connsiteY14" fmla="*/ 155897 h 722384"/>
            <a:gd name="connsiteX15" fmla="*/ 295777 w 371406"/>
            <a:gd name="connsiteY15" fmla="*/ 165923 h 722384"/>
            <a:gd name="connsiteX16" fmla="*/ 305803 w 371406"/>
            <a:gd name="connsiteY16" fmla="*/ 196002 h 722384"/>
            <a:gd name="connsiteX17" fmla="*/ 310816 w 371406"/>
            <a:gd name="connsiteY17" fmla="*/ 211042 h 722384"/>
            <a:gd name="connsiteX18" fmla="*/ 295777 w 371406"/>
            <a:gd name="connsiteY18" fmla="*/ 281226 h 722384"/>
            <a:gd name="connsiteX19" fmla="*/ 280737 w 371406"/>
            <a:gd name="connsiteY19" fmla="*/ 286239 h 722384"/>
            <a:gd name="connsiteX20" fmla="*/ 260685 w 371406"/>
            <a:gd name="connsiteY20" fmla="*/ 316318 h 722384"/>
            <a:gd name="connsiteX21" fmla="*/ 240632 w 371406"/>
            <a:gd name="connsiteY21" fmla="*/ 336371 h 722384"/>
            <a:gd name="connsiteX22" fmla="*/ 255671 w 371406"/>
            <a:gd name="connsiteY22" fmla="*/ 341384 h 722384"/>
            <a:gd name="connsiteX23" fmla="*/ 265698 w 371406"/>
            <a:gd name="connsiteY23" fmla="*/ 351410 h 722384"/>
            <a:gd name="connsiteX24" fmla="*/ 280737 w 371406"/>
            <a:gd name="connsiteY24" fmla="*/ 361437 h 722384"/>
            <a:gd name="connsiteX25" fmla="*/ 290764 w 371406"/>
            <a:gd name="connsiteY25" fmla="*/ 371463 h 722384"/>
            <a:gd name="connsiteX26" fmla="*/ 305803 w 371406"/>
            <a:gd name="connsiteY26" fmla="*/ 376476 h 722384"/>
            <a:gd name="connsiteX27" fmla="*/ 315829 w 371406"/>
            <a:gd name="connsiteY27" fmla="*/ 391515 h 722384"/>
            <a:gd name="connsiteX28" fmla="*/ 340895 w 371406"/>
            <a:gd name="connsiteY28" fmla="*/ 411568 h 722384"/>
            <a:gd name="connsiteX29" fmla="*/ 355935 w 371406"/>
            <a:gd name="connsiteY29" fmla="*/ 441647 h 722384"/>
            <a:gd name="connsiteX30" fmla="*/ 365961 w 371406"/>
            <a:gd name="connsiteY30" fmla="*/ 456687 h 722384"/>
            <a:gd name="connsiteX31" fmla="*/ 370473 w 371406"/>
            <a:gd name="connsiteY31" fmla="*/ 504186 h 722384"/>
            <a:gd name="connsiteX32" fmla="*/ 368343 w 371406"/>
            <a:gd name="connsiteY32" fmla="*/ 523988 h 722384"/>
            <a:gd name="connsiteX33" fmla="*/ 340895 w 371406"/>
            <a:gd name="connsiteY33" fmla="*/ 556950 h 722384"/>
            <a:gd name="connsiteX34" fmla="*/ 325856 w 371406"/>
            <a:gd name="connsiteY34" fmla="*/ 561963 h 722384"/>
            <a:gd name="connsiteX35" fmla="*/ 300790 w 371406"/>
            <a:gd name="connsiteY35" fmla="*/ 582015 h 722384"/>
            <a:gd name="connsiteX36" fmla="*/ 290764 w 371406"/>
            <a:gd name="connsiteY36" fmla="*/ 592042 h 722384"/>
            <a:gd name="connsiteX37" fmla="*/ 275724 w 371406"/>
            <a:gd name="connsiteY37" fmla="*/ 597055 h 722384"/>
            <a:gd name="connsiteX38" fmla="*/ 270711 w 371406"/>
            <a:gd name="connsiteY38" fmla="*/ 612094 h 722384"/>
            <a:gd name="connsiteX39" fmla="*/ 240632 w 371406"/>
            <a:gd name="connsiteY39" fmla="*/ 622121 h 722384"/>
            <a:gd name="connsiteX40" fmla="*/ 257801 w 371406"/>
            <a:gd name="connsiteY40" fmla="*/ 666488 h 722384"/>
            <a:gd name="connsiteX41" fmla="*/ 245144 w 371406"/>
            <a:gd name="connsiteY41" fmla="*/ 711856 h 722384"/>
            <a:gd name="connsiteX42" fmla="*/ 210553 w 371406"/>
            <a:gd name="connsiteY42" fmla="*/ 722384 h 722384"/>
            <a:gd name="connsiteX43" fmla="*/ 190500 w 371406"/>
            <a:gd name="connsiteY43" fmla="*/ 717371 h 722384"/>
            <a:gd name="connsiteX44" fmla="*/ 185487 w 371406"/>
            <a:gd name="connsiteY44" fmla="*/ 682279 h 722384"/>
            <a:gd name="connsiteX45" fmla="*/ 180474 w 371406"/>
            <a:gd name="connsiteY45" fmla="*/ 657213 h 722384"/>
            <a:gd name="connsiteX46" fmla="*/ 175461 w 371406"/>
            <a:gd name="connsiteY46" fmla="*/ 627134 h 722384"/>
            <a:gd name="connsiteX47" fmla="*/ 170448 w 371406"/>
            <a:gd name="connsiteY47" fmla="*/ 607081 h 722384"/>
            <a:gd name="connsiteX48" fmla="*/ 165435 w 371406"/>
            <a:gd name="connsiteY48" fmla="*/ 577002 h 722384"/>
            <a:gd name="connsiteX49" fmla="*/ 155659 w 371406"/>
            <a:gd name="connsiteY49" fmla="*/ 571488 h 722384"/>
            <a:gd name="connsiteX50" fmla="*/ 145382 w 371406"/>
            <a:gd name="connsiteY50" fmla="*/ 556950 h 722384"/>
            <a:gd name="connsiteX51" fmla="*/ 130844 w 371406"/>
            <a:gd name="connsiteY51" fmla="*/ 544291 h 722384"/>
            <a:gd name="connsiteX52" fmla="*/ 105778 w 371406"/>
            <a:gd name="connsiteY52" fmla="*/ 524239 h 722384"/>
            <a:gd name="connsiteX53" fmla="*/ 95250 w 371406"/>
            <a:gd name="connsiteY53" fmla="*/ 496792 h 722384"/>
            <a:gd name="connsiteX54" fmla="*/ 90237 w 371406"/>
            <a:gd name="connsiteY54" fmla="*/ 481752 h 722384"/>
            <a:gd name="connsiteX55" fmla="*/ 40106 w 371406"/>
            <a:gd name="connsiteY55" fmla="*/ 456687 h 722384"/>
            <a:gd name="connsiteX56" fmla="*/ 30079 w 371406"/>
            <a:gd name="connsiteY56" fmla="*/ 446660 h 722384"/>
            <a:gd name="connsiteX57" fmla="*/ 15040 w 371406"/>
            <a:gd name="connsiteY57" fmla="*/ 436634 h 722384"/>
            <a:gd name="connsiteX58" fmla="*/ 0 w 371406"/>
            <a:gd name="connsiteY58" fmla="*/ 386502 h 722384"/>
            <a:gd name="connsiteX59" fmla="*/ 5014 w 371406"/>
            <a:gd name="connsiteY59" fmla="*/ 341384 h 722384"/>
            <a:gd name="connsiteX60" fmla="*/ 40106 w 371406"/>
            <a:gd name="connsiteY60" fmla="*/ 301279 h 722384"/>
            <a:gd name="connsiteX61" fmla="*/ 60158 w 371406"/>
            <a:gd name="connsiteY61" fmla="*/ 261173 h 722384"/>
            <a:gd name="connsiteX62" fmla="*/ 65171 w 371406"/>
            <a:gd name="connsiteY62" fmla="*/ 241121 h 722384"/>
            <a:gd name="connsiteX63" fmla="*/ 70185 w 371406"/>
            <a:gd name="connsiteY63" fmla="*/ 226081 h 722384"/>
            <a:gd name="connsiteX64" fmla="*/ 55145 w 371406"/>
            <a:gd name="connsiteY64" fmla="*/ 155897 h 722384"/>
            <a:gd name="connsiteX65" fmla="*/ 45119 w 371406"/>
            <a:gd name="connsiteY65" fmla="*/ 90726 h 722384"/>
            <a:gd name="connsiteX66" fmla="*/ 65171 w 371406"/>
            <a:gd name="connsiteY66" fmla="*/ 40594 h 722384"/>
            <a:gd name="connsiteX0" fmla="*/ 65171 w 371406"/>
            <a:gd name="connsiteY0" fmla="*/ 40594 h 722384"/>
            <a:gd name="connsiteX1" fmla="*/ 120316 w 371406"/>
            <a:gd name="connsiteY1" fmla="*/ 20542 h 722384"/>
            <a:gd name="connsiteX2" fmla="*/ 135356 w 371406"/>
            <a:gd name="connsiteY2" fmla="*/ 15529 h 722384"/>
            <a:gd name="connsiteX3" fmla="*/ 150395 w 371406"/>
            <a:gd name="connsiteY3" fmla="*/ 5502 h 722384"/>
            <a:gd name="connsiteX4" fmla="*/ 210553 w 371406"/>
            <a:gd name="connsiteY4" fmla="*/ 5502 h 722384"/>
            <a:gd name="connsiteX5" fmla="*/ 220579 w 371406"/>
            <a:gd name="connsiteY5" fmla="*/ 15529 h 722384"/>
            <a:gd name="connsiteX6" fmla="*/ 235619 w 371406"/>
            <a:gd name="connsiteY6" fmla="*/ 65660 h 722384"/>
            <a:gd name="connsiteX7" fmla="*/ 250658 w 371406"/>
            <a:gd name="connsiteY7" fmla="*/ 50621 h 722384"/>
            <a:gd name="connsiteX8" fmla="*/ 295777 w 371406"/>
            <a:gd name="connsiteY8" fmla="*/ 40594 h 722384"/>
            <a:gd name="connsiteX9" fmla="*/ 320842 w 371406"/>
            <a:gd name="connsiteY9" fmla="*/ 45608 h 722384"/>
            <a:gd name="connsiteX10" fmla="*/ 300790 w 371406"/>
            <a:gd name="connsiteY10" fmla="*/ 75687 h 722384"/>
            <a:gd name="connsiteX11" fmla="*/ 290764 w 371406"/>
            <a:gd name="connsiteY11" fmla="*/ 90726 h 722384"/>
            <a:gd name="connsiteX12" fmla="*/ 270711 w 371406"/>
            <a:gd name="connsiteY12" fmla="*/ 110779 h 722384"/>
            <a:gd name="connsiteX13" fmla="*/ 280737 w 371406"/>
            <a:gd name="connsiteY13" fmla="*/ 140858 h 722384"/>
            <a:gd name="connsiteX14" fmla="*/ 285750 w 371406"/>
            <a:gd name="connsiteY14" fmla="*/ 155897 h 722384"/>
            <a:gd name="connsiteX15" fmla="*/ 295777 w 371406"/>
            <a:gd name="connsiteY15" fmla="*/ 165923 h 722384"/>
            <a:gd name="connsiteX16" fmla="*/ 305803 w 371406"/>
            <a:gd name="connsiteY16" fmla="*/ 196002 h 722384"/>
            <a:gd name="connsiteX17" fmla="*/ 310816 w 371406"/>
            <a:gd name="connsiteY17" fmla="*/ 211042 h 722384"/>
            <a:gd name="connsiteX18" fmla="*/ 295777 w 371406"/>
            <a:gd name="connsiteY18" fmla="*/ 281226 h 722384"/>
            <a:gd name="connsiteX19" fmla="*/ 280737 w 371406"/>
            <a:gd name="connsiteY19" fmla="*/ 286239 h 722384"/>
            <a:gd name="connsiteX20" fmla="*/ 260685 w 371406"/>
            <a:gd name="connsiteY20" fmla="*/ 316318 h 722384"/>
            <a:gd name="connsiteX21" fmla="*/ 240632 w 371406"/>
            <a:gd name="connsiteY21" fmla="*/ 336371 h 722384"/>
            <a:gd name="connsiteX22" fmla="*/ 255671 w 371406"/>
            <a:gd name="connsiteY22" fmla="*/ 341384 h 722384"/>
            <a:gd name="connsiteX23" fmla="*/ 265698 w 371406"/>
            <a:gd name="connsiteY23" fmla="*/ 351410 h 722384"/>
            <a:gd name="connsiteX24" fmla="*/ 280737 w 371406"/>
            <a:gd name="connsiteY24" fmla="*/ 361437 h 722384"/>
            <a:gd name="connsiteX25" fmla="*/ 290764 w 371406"/>
            <a:gd name="connsiteY25" fmla="*/ 371463 h 722384"/>
            <a:gd name="connsiteX26" fmla="*/ 305803 w 371406"/>
            <a:gd name="connsiteY26" fmla="*/ 376476 h 722384"/>
            <a:gd name="connsiteX27" fmla="*/ 315829 w 371406"/>
            <a:gd name="connsiteY27" fmla="*/ 391515 h 722384"/>
            <a:gd name="connsiteX28" fmla="*/ 340895 w 371406"/>
            <a:gd name="connsiteY28" fmla="*/ 411568 h 722384"/>
            <a:gd name="connsiteX29" fmla="*/ 355935 w 371406"/>
            <a:gd name="connsiteY29" fmla="*/ 441647 h 722384"/>
            <a:gd name="connsiteX30" fmla="*/ 365961 w 371406"/>
            <a:gd name="connsiteY30" fmla="*/ 456687 h 722384"/>
            <a:gd name="connsiteX31" fmla="*/ 370473 w 371406"/>
            <a:gd name="connsiteY31" fmla="*/ 504186 h 722384"/>
            <a:gd name="connsiteX32" fmla="*/ 368343 w 371406"/>
            <a:gd name="connsiteY32" fmla="*/ 523988 h 722384"/>
            <a:gd name="connsiteX33" fmla="*/ 340895 w 371406"/>
            <a:gd name="connsiteY33" fmla="*/ 556950 h 722384"/>
            <a:gd name="connsiteX34" fmla="*/ 325856 w 371406"/>
            <a:gd name="connsiteY34" fmla="*/ 561963 h 722384"/>
            <a:gd name="connsiteX35" fmla="*/ 300790 w 371406"/>
            <a:gd name="connsiteY35" fmla="*/ 582015 h 722384"/>
            <a:gd name="connsiteX36" fmla="*/ 290764 w 371406"/>
            <a:gd name="connsiteY36" fmla="*/ 592042 h 722384"/>
            <a:gd name="connsiteX37" fmla="*/ 275724 w 371406"/>
            <a:gd name="connsiteY37" fmla="*/ 597055 h 722384"/>
            <a:gd name="connsiteX38" fmla="*/ 270711 w 371406"/>
            <a:gd name="connsiteY38" fmla="*/ 612094 h 722384"/>
            <a:gd name="connsiteX39" fmla="*/ 240632 w 371406"/>
            <a:gd name="connsiteY39" fmla="*/ 622121 h 722384"/>
            <a:gd name="connsiteX40" fmla="*/ 257801 w 371406"/>
            <a:gd name="connsiteY40" fmla="*/ 666488 h 722384"/>
            <a:gd name="connsiteX41" fmla="*/ 245144 w 371406"/>
            <a:gd name="connsiteY41" fmla="*/ 711856 h 722384"/>
            <a:gd name="connsiteX42" fmla="*/ 210553 w 371406"/>
            <a:gd name="connsiteY42" fmla="*/ 722384 h 722384"/>
            <a:gd name="connsiteX43" fmla="*/ 190500 w 371406"/>
            <a:gd name="connsiteY43" fmla="*/ 717371 h 722384"/>
            <a:gd name="connsiteX44" fmla="*/ 185487 w 371406"/>
            <a:gd name="connsiteY44" fmla="*/ 682279 h 722384"/>
            <a:gd name="connsiteX45" fmla="*/ 180474 w 371406"/>
            <a:gd name="connsiteY45" fmla="*/ 657213 h 722384"/>
            <a:gd name="connsiteX46" fmla="*/ 175461 w 371406"/>
            <a:gd name="connsiteY46" fmla="*/ 627134 h 722384"/>
            <a:gd name="connsiteX47" fmla="*/ 170448 w 371406"/>
            <a:gd name="connsiteY47" fmla="*/ 607081 h 722384"/>
            <a:gd name="connsiteX48" fmla="*/ 165435 w 371406"/>
            <a:gd name="connsiteY48" fmla="*/ 577002 h 722384"/>
            <a:gd name="connsiteX49" fmla="*/ 155659 w 371406"/>
            <a:gd name="connsiteY49" fmla="*/ 571488 h 722384"/>
            <a:gd name="connsiteX50" fmla="*/ 145382 w 371406"/>
            <a:gd name="connsiteY50" fmla="*/ 556950 h 722384"/>
            <a:gd name="connsiteX51" fmla="*/ 130844 w 371406"/>
            <a:gd name="connsiteY51" fmla="*/ 544291 h 722384"/>
            <a:gd name="connsiteX52" fmla="*/ 105778 w 371406"/>
            <a:gd name="connsiteY52" fmla="*/ 524239 h 722384"/>
            <a:gd name="connsiteX53" fmla="*/ 95250 w 371406"/>
            <a:gd name="connsiteY53" fmla="*/ 496792 h 722384"/>
            <a:gd name="connsiteX54" fmla="*/ 90237 w 371406"/>
            <a:gd name="connsiteY54" fmla="*/ 481752 h 722384"/>
            <a:gd name="connsiteX55" fmla="*/ 40106 w 371406"/>
            <a:gd name="connsiteY55" fmla="*/ 456687 h 722384"/>
            <a:gd name="connsiteX56" fmla="*/ 30079 w 371406"/>
            <a:gd name="connsiteY56" fmla="*/ 446660 h 722384"/>
            <a:gd name="connsiteX57" fmla="*/ 15040 w 371406"/>
            <a:gd name="connsiteY57" fmla="*/ 436634 h 722384"/>
            <a:gd name="connsiteX58" fmla="*/ 0 w 371406"/>
            <a:gd name="connsiteY58" fmla="*/ 386502 h 722384"/>
            <a:gd name="connsiteX59" fmla="*/ 5014 w 371406"/>
            <a:gd name="connsiteY59" fmla="*/ 341384 h 722384"/>
            <a:gd name="connsiteX60" fmla="*/ 40106 w 371406"/>
            <a:gd name="connsiteY60" fmla="*/ 301279 h 722384"/>
            <a:gd name="connsiteX61" fmla="*/ 60158 w 371406"/>
            <a:gd name="connsiteY61" fmla="*/ 261173 h 722384"/>
            <a:gd name="connsiteX62" fmla="*/ 65171 w 371406"/>
            <a:gd name="connsiteY62" fmla="*/ 241121 h 722384"/>
            <a:gd name="connsiteX63" fmla="*/ 70185 w 371406"/>
            <a:gd name="connsiteY63" fmla="*/ 226081 h 722384"/>
            <a:gd name="connsiteX64" fmla="*/ 55145 w 371406"/>
            <a:gd name="connsiteY64" fmla="*/ 155897 h 722384"/>
            <a:gd name="connsiteX65" fmla="*/ 40357 w 371406"/>
            <a:gd name="connsiteY65" fmla="*/ 100251 h 722384"/>
            <a:gd name="connsiteX66" fmla="*/ 65171 w 371406"/>
            <a:gd name="connsiteY66" fmla="*/ 40594 h 722384"/>
            <a:gd name="connsiteX0" fmla="*/ 65171 w 371406"/>
            <a:gd name="connsiteY0" fmla="*/ 40594 h 722384"/>
            <a:gd name="connsiteX1" fmla="*/ 120316 w 371406"/>
            <a:gd name="connsiteY1" fmla="*/ 20542 h 722384"/>
            <a:gd name="connsiteX2" fmla="*/ 135356 w 371406"/>
            <a:gd name="connsiteY2" fmla="*/ 15529 h 722384"/>
            <a:gd name="connsiteX3" fmla="*/ 150395 w 371406"/>
            <a:gd name="connsiteY3" fmla="*/ 5502 h 722384"/>
            <a:gd name="connsiteX4" fmla="*/ 210553 w 371406"/>
            <a:gd name="connsiteY4" fmla="*/ 5502 h 722384"/>
            <a:gd name="connsiteX5" fmla="*/ 220579 w 371406"/>
            <a:gd name="connsiteY5" fmla="*/ 15529 h 722384"/>
            <a:gd name="connsiteX6" fmla="*/ 235619 w 371406"/>
            <a:gd name="connsiteY6" fmla="*/ 65660 h 722384"/>
            <a:gd name="connsiteX7" fmla="*/ 250658 w 371406"/>
            <a:gd name="connsiteY7" fmla="*/ 50621 h 722384"/>
            <a:gd name="connsiteX8" fmla="*/ 295777 w 371406"/>
            <a:gd name="connsiteY8" fmla="*/ 40594 h 722384"/>
            <a:gd name="connsiteX9" fmla="*/ 320842 w 371406"/>
            <a:gd name="connsiteY9" fmla="*/ 45608 h 722384"/>
            <a:gd name="connsiteX10" fmla="*/ 300790 w 371406"/>
            <a:gd name="connsiteY10" fmla="*/ 75687 h 722384"/>
            <a:gd name="connsiteX11" fmla="*/ 290764 w 371406"/>
            <a:gd name="connsiteY11" fmla="*/ 90726 h 722384"/>
            <a:gd name="connsiteX12" fmla="*/ 270711 w 371406"/>
            <a:gd name="connsiteY12" fmla="*/ 110779 h 722384"/>
            <a:gd name="connsiteX13" fmla="*/ 280737 w 371406"/>
            <a:gd name="connsiteY13" fmla="*/ 140858 h 722384"/>
            <a:gd name="connsiteX14" fmla="*/ 285750 w 371406"/>
            <a:gd name="connsiteY14" fmla="*/ 155897 h 722384"/>
            <a:gd name="connsiteX15" fmla="*/ 295777 w 371406"/>
            <a:gd name="connsiteY15" fmla="*/ 165923 h 722384"/>
            <a:gd name="connsiteX16" fmla="*/ 305803 w 371406"/>
            <a:gd name="connsiteY16" fmla="*/ 196002 h 722384"/>
            <a:gd name="connsiteX17" fmla="*/ 310816 w 371406"/>
            <a:gd name="connsiteY17" fmla="*/ 211042 h 722384"/>
            <a:gd name="connsiteX18" fmla="*/ 295777 w 371406"/>
            <a:gd name="connsiteY18" fmla="*/ 281226 h 722384"/>
            <a:gd name="connsiteX19" fmla="*/ 280737 w 371406"/>
            <a:gd name="connsiteY19" fmla="*/ 286239 h 722384"/>
            <a:gd name="connsiteX20" fmla="*/ 260685 w 371406"/>
            <a:gd name="connsiteY20" fmla="*/ 316318 h 722384"/>
            <a:gd name="connsiteX21" fmla="*/ 240632 w 371406"/>
            <a:gd name="connsiteY21" fmla="*/ 336371 h 722384"/>
            <a:gd name="connsiteX22" fmla="*/ 255671 w 371406"/>
            <a:gd name="connsiteY22" fmla="*/ 341384 h 722384"/>
            <a:gd name="connsiteX23" fmla="*/ 265698 w 371406"/>
            <a:gd name="connsiteY23" fmla="*/ 351410 h 722384"/>
            <a:gd name="connsiteX24" fmla="*/ 280737 w 371406"/>
            <a:gd name="connsiteY24" fmla="*/ 361437 h 722384"/>
            <a:gd name="connsiteX25" fmla="*/ 290764 w 371406"/>
            <a:gd name="connsiteY25" fmla="*/ 371463 h 722384"/>
            <a:gd name="connsiteX26" fmla="*/ 305803 w 371406"/>
            <a:gd name="connsiteY26" fmla="*/ 376476 h 722384"/>
            <a:gd name="connsiteX27" fmla="*/ 315829 w 371406"/>
            <a:gd name="connsiteY27" fmla="*/ 391515 h 722384"/>
            <a:gd name="connsiteX28" fmla="*/ 340895 w 371406"/>
            <a:gd name="connsiteY28" fmla="*/ 411568 h 722384"/>
            <a:gd name="connsiteX29" fmla="*/ 355935 w 371406"/>
            <a:gd name="connsiteY29" fmla="*/ 441647 h 722384"/>
            <a:gd name="connsiteX30" fmla="*/ 365961 w 371406"/>
            <a:gd name="connsiteY30" fmla="*/ 456687 h 722384"/>
            <a:gd name="connsiteX31" fmla="*/ 370473 w 371406"/>
            <a:gd name="connsiteY31" fmla="*/ 504186 h 722384"/>
            <a:gd name="connsiteX32" fmla="*/ 368343 w 371406"/>
            <a:gd name="connsiteY32" fmla="*/ 523988 h 722384"/>
            <a:gd name="connsiteX33" fmla="*/ 340895 w 371406"/>
            <a:gd name="connsiteY33" fmla="*/ 556950 h 722384"/>
            <a:gd name="connsiteX34" fmla="*/ 325856 w 371406"/>
            <a:gd name="connsiteY34" fmla="*/ 561963 h 722384"/>
            <a:gd name="connsiteX35" fmla="*/ 300790 w 371406"/>
            <a:gd name="connsiteY35" fmla="*/ 582015 h 722384"/>
            <a:gd name="connsiteX36" fmla="*/ 290764 w 371406"/>
            <a:gd name="connsiteY36" fmla="*/ 592042 h 722384"/>
            <a:gd name="connsiteX37" fmla="*/ 275724 w 371406"/>
            <a:gd name="connsiteY37" fmla="*/ 597055 h 722384"/>
            <a:gd name="connsiteX38" fmla="*/ 270711 w 371406"/>
            <a:gd name="connsiteY38" fmla="*/ 612094 h 722384"/>
            <a:gd name="connsiteX39" fmla="*/ 240632 w 371406"/>
            <a:gd name="connsiteY39" fmla="*/ 622121 h 722384"/>
            <a:gd name="connsiteX40" fmla="*/ 257801 w 371406"/>
            <a:gd name="connsiteY40" fmla="*/ 666488 h 722384"/>
            <a:gd name="connsiteX41" fmla="*/ 245144 w 371406"/>
            <a:gd name="connsiteY41" fmla="*/ 711856 h 722384"/>
            <a:gd name="connsiteX42" fmla="*/ 210553 w 371406"/>
            <a:gd name="connsiteY42" fmla="*/ 722384 h 722384"/>
            <a:gd name="connsiteX43" fmla="*/ 190500 w 371406"/>
            <a:gd name="connsiteY43" fmla="*/ 717371 h 722384"/>
            <a:gd name="connsiteX44" fmla="*/ 185487 w 371406"/>
            <a:gd name="connsiteY44" fmla="*/ 682279 h 722384"/>
            <a:gd name="connsiteX45" fmla="*/ 180474 w 371406"/>
            <a:gd name="connsiteY45" fmla="*/ 657213 h 722384"/>
            <a:gd name="connsiteX46" fmla="*/ 175461 w 371406"/>
            <a:gd name="connsiteY46" fmla="*/ 627134 h 722384"/>
            <a:gd name="connsiteX47" fmla="*/ 170448 w 371406"/>
            <a:gd name="connsiteY47" fmla="*/ 607081 h 722384"/>
            <a:gd name="connsiteX48" fmla="*/ 165435 w 371406"/>
            <a:gd name="connsiteY48" fmla="*/ 577002 h 722384"/>
            <a:gd name="connsiteX49" fmla="*/ 155659 w 371406"/>
            <a:gd name="connsiteY49" fmla="*/ 571488 h 722384"/>
            <a:gd name="connsiteX50" fmla="*/ 145382 w 371406"/>
            <a:gd name="connsiteY50" fmla="*/ 556950 h 722384"/>
            <a:gd name="connsiteX51" fmla="*/ 130844 w 371406"/>
            <a:gd name="connsiteY51" fmla="*/ 544291 h 722384"/>
            <a:gd name="connsiteX52" fmla="*/ 105778 w 371406"/>
            <a:gd name="connsiteY52" fmla="*/ 524239 h 722384"/>
            <a:gd name="connsiteX53" fmla="*/ 95250 w 371406"/>
            <a:gd name="connsiteY53" fmla="*/ 496792 h 722384"/>
            <a:gd name="connsiteX54" fmla="*/ 90237 w 371406"/>
            <a:gd name="connsiteY54" fmla="*/ 481752 h 722384"/>
            <a:gd name="connsiteX55" fmla="*/ 40106 w 371406"/>
            <a:gd name="connsiteY55" fmla="*/ 456687 h 722384"/>
            <a:gd name="connsiteX56" fmla="*/ 30079 w 371406"/>
            <a:gd name="connsiteY56" fmla="*/ 446660 h 722384"/>
            <a:gd name="connsiteX57" fmla="*/ 15040 w 371406"/>
            <a:gd name="connsiteY57" fmla="*/ 436634 h 722384"/>
            <a:gd name="connsiteX58" fmla="*/ 0 w 371406"/>
            <a:gd name="connsiteY58" fmla="*/ 386502 h 722384"/>
            <a:gd name="connsiteX59" fmla="*/ 5014 w 371406"/>
            <a:gd name="connsiteY59" fmla="*/ 341384 h 722384"/>
            <a:gd name="connsiteX60" fmla="*/ 40106 w 371406"/>
            <a:gd name="connsiteY60" fmla="*/ 301279 h 722384"/>
            <a:gd name="connsiteX61" fmla="*/ 60158 w 371406"/>
            <a:gd name="connsiteY61" fmla="*/ 261173 h 722384"/>
            <a:gd name="connsiteX62" fmla="*/ 65171 w 371406"/>
            <a:gd name="connsiteY62" fmla="*/ 241121 h 722384"/>
            <a:gd name="connsiteX63" fmla="*/ 70185 w 371406"/>
            <a:gd name="connsiteY63" fmla="*/ 226081 h 722384"/>
            <a:gd name="connsiteX64" fmla="*/ 55145 w 371406"/>
            <a:gd name="connsiteY64" fmla="*/ 155897 h 722384"/>
            <a:gd name="connsiteX65" fmla="*/ 40357 w 371406"/>
            <a:gd name="connsiteY65" fmla="*/ 100251 h 722384"/>
            <a:gd name="connsiteX66" fmla="*/ 65171 w 371406"/>
            <a:gd name="connsiteY66" fmla="*/ 40594 h 72238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</a:cxnLst>
          <a:rect l="l" t="t" r="r" b="b"/>
          <a:pathLst>
            <a:path w="371406" h="722384">
              <a:moveTo>
                <a:pt x="65171" y="40594"/>
              </a:moveTo>
              <a:cubicBezTo>
                <a:pt x="100048" y="26644"/>
                <a:pt x="81702" y="33413"/>
                <a:pt x="120316" y="20542"/>
              </a:cubicBezTo>
              <a:lnTo>
                <a:pt x="135356" y="15529"/>
              </a:lnTo>
              <a:cubicBezTo>
                <a:pt x="140369" y="12187"/>
                <a:pt x="145006" y="8197"/>
                <a:pt x="150395" y="5502"/>
              </a:cubicBezTo>
              <a:cubicBezTo>
                <a:pt x="171772" y="-5187"/>
                <a:pt x="183144" y="2457"/>
                <a:pt x="210553" y="5502"/>
              </a:cubicBezTo>
              <a:cubicBezTo>
                <a:pt x="213895" y="8844"/>
                <a:pt x="218465" y="11301"/>
                <a:pt x="220579" y="15529"/>
              </a:cubicBezTo>
              <a:cubicBezTo>
                <a:pt x="226683" y="27737"/>
                <a:pt x="232020" y="51265"/>
                <a:pt x="235619" y="65660"/>
              </a:cubicBezTo>
              <a:cubicBezTo>
                <a:pt x="240632" y="60647"/>
                <a:pt x="244759" y="54553"/>
                <a:pt x="250658" y="50621"/>
              </a:cubicBezTo>
              <a:cubicBezTo>
                <a:pt x="258884" y="45137"/>
                <a:pt x="292141" y="41200"/>
                <a:pt x="295777" y="40594"/>
              </a:cubicBezTo>
              <a:cubicBezTo>
                <a:pt x="304132" y="42265"/>
                <a:pt x="316116" y="38518"/>
                <a:pt x="320842" y="45608"/>
              </a:cubicBezTo>
              <a:cubicBezTo>
                <a:pt x="336239" y="68704"/>
                <a:pt x="310611" y="72413"/>
                <a:pt x="300790" y="75687"/>
              </a:cubicBezTo>
              <a:cubicBezTo>
                <a:pt x="297448" y="80700"/>
                <a:pt x="295469" y="86962"/>
                <a:pt x="290764" y="90726"/>
              </a:cubicBezTo>
              <a:cubicBezTo>
                <a:pt x="266457" y="110170"/>
                <a:pt x="281648" y="77965"/>
                <a:pt x="270711" y="110779"/>
              </a:cubicBezTo>
              <a:lnTo>
                <a:pt x="280737" y="140858"/>
              </a:lnTo>
              <a:cubicBezTo>
                <a:pt x="282408" y="145871"/>
                <a:pt x="282013" y="152161"/>
                <a:pt x="285750" y="155897"/>
              </a:cubicBezTo>
              <a:lnTo>
                <a:pt x="295777" y="165923"/>
              </a:lnTo>
              <a:lnTo>
                <a:pt x="305803" y="196002"/>
              </a:lnTo>
              <a:lnTo>
                <a:pt x="310816" y="211042"/>
              </a:lnTo>
              <a:cubicBezTo>
                <a:pt x="309518" y="225320"/>
                <a:pt x="314651" y="266128"/>
                <a:pt x="295777" y="281226"/>
              </a:cubicBezTo>
              <a:cubicBezTo>
                <a:pt x="291650" y="284527"/>
                <a:pt x="285750" y="284568"/>
                <a:pt x="280737" y="286239"/>
              </a:cubicBezTo>
              <a:cubicBezTo>
                <a:pt x="274053" y="296265"/>
                <a:pt x="269206" y="307797"/>
                <a:pt x="260685" y="316318"/>
              </a:cubicBezTo>
              <a:lnTo>
                <a:pt x="240632" y="336371"/>
              </a:lnTo>
              <a:cubicBezTo>
                <a:pt x="245645" y="338042"/>
                <a:pt x="251140" y="338665"/>
                <a:pt x="255671" y="341384"/>
              </a:cubicBezTo>
              <a:cubicBezTo>
                <a:pt x="259724" y="343816"/>
                <a:pt x="262007" y="348457"/>
                <a:pt x="265698" y="351410"/>
              </a:cubicBezTo>
              <a:cubicBezTo>
                <a:pt x="270403" y="355174"/>
                <a:pt x="276032" y="357673"/>
                <a:pt x="280737" y="361437"/>
              </a:cubicBezTo>
              <a:cubicBezTo>
                <a:pt x="284428" y="364390"/>
                <a:pt x="286711" y="369031"/>
                <a:pt x="290764" y="371463"/>
              </a:cubicBezTo>
              <a:cubicBezTo>
                <a:pt x="295295" y="374182"/>
                <a:pt x="300790" y="374805"/>
                <a:pt x="305803" y="376476"/>
              </a:cubicBezTo>
              <a:cubicBezTo>
                <a:pt x="309145" y="381489"/>
                <a:pt x="312065" y="386810"/>
                <a:pt x="315829" y="391515"/>
              </a:cubicBezTo>
              <a:cubicBezTo>
                <a:pt x="323993" y="401720"/>
                <a:pt x="329728" y="404123"/>
                <a:pt x="340895" y="411568"/>
              </a:cubicBezTo>
              <a:cubicBezTo>
                <a:pt x="369629" y="454671"/>
                <a:pt x="335179" y="400136"/>
                <a:pt x="355935" y="441647"/>
              </a:cubicBezTo>
              <a:cubicBezTo>
                <a:pt x="358630" y="447036"/>
                <a:pt x="362619" y="451674"/>
                <a:pt x="365961" y="456687"/>
              </a:cubicBezTo>
              <a:cubicBezTo>
                <a:pt x="364290" y="471726"/>
                <a:pt x="370076" y="492969"/>
                <a:pt x="370473" y="504186"/>
              </a:cubicBezTo>
              <a:cubicBezTo>
                <a:pt x="370870" y="515403"/>
                <a:pt x="373273" y="515194"/>
                <a:pt x="368343" y="523988"/>
              </a:cubicBezTo>
              <a:cubicBezTo>
                <a:pt x="363413" y="532782"/>
                <a:pt x="347976" y="550621"/>
                <a:pt x="340895" y="556950"/>
              </a:cubicBezTo>
              <a:cubicBezTo>
                <a:pt x="333814" y="563279"/>
                <a:pt x="330869" y="560292"/>
                <a:pt x="325856" y="561963"/>
              </a:cubicBezTo>
              <a:cubicBezTo>
                <a:pt x="301636" y="586180"/>
                <a:pt x="332422" y="556708"/>
                <a:pt x="300790" y="582015"/>
              </a:cubicBezTo>
              <a:cubicBezTo>
                <a:pt x="297099" y="584968"/>
                <a:pt x="294817" y="589610"/>
                <a:pt x="290764" y="592042"/>
              </a:cubicBezTo>
              <a:cubicBezTo>
                <a:pt x="286233" y="594761"/>
                <a:pt x="280737" y="595384"/>
                <a:pt x="275724" y="597055"/>
              </a:cubicBezTo>
              <a:cubicBezTo>
                <a:pt x="274053" y="602068"/>
                <a:pt x="275011" y="609023"/>
                <a:pt x="270711" y="612094"/>
              </a:cubicBezTo>
              <a:cubicBezTo>
                <a:pt x="262111" y="618237"/>
                <a:pt x="242784" y="613055"/>
                <a:pt x="240632" y="622121"/>
              </a:cubicBezTo>
              <a:cubicBezTo>
                <a:pt x="238480" y="631187"/>
                <a:pt x="257049" y="651532"/>
                <a:pt x="257801" y="666488"/>
              </a:cubicBezTo>
              <a:cubicBezTo>
                <a:pt x="258553" y="681444"/>
                <a:pt x="253019" y="702540"/>
                <a:pt x="245144" y="711856"/>
              </a:cubicBezTo>
              <a:cubicBezTo>
                <a:pt x="237269" y="721172"/>
                <a:pt x="229525" y="709736"/>
                <a:pt x="210553" y="722384"/>
              </a:cubicBezTo>
              <a:cubicBezTo>
                <a:pt x="203869" y="720713"/>
                <a:pt x="194152" y="723214"/>
                <a:pt x="190500" y="717371"/>
              </a:cubicBezTo>
              <a:cubicBezTo>
                <a:pt x="184237" y="707351"/>
                <a:pt x="187429" y="693934"/>
                <a:pt x="185487" y="682279"/>
              </a:cubicBezTo>
              <a:cubicBezTo>
                <a:pt x="184086" y="673874"/>
                <a:pt x="181998" y="665596"/>
                <a:pt x="180474" y="657213"/>
              </a:cubicBezTo>
              <a:cubicBezTo>
                <a:pt x="178656" y="647212"/>
                <a:pt x="177454" y="637101"/>
                <a:pt x="175461" y="627134"/>
              </a:cubicBezTo>
              <a:cubicBezTo>
                <a:pt x="174110" y="620378"/>
                <a:pt x="171799" y="613837"/>
                <a:pt x="170448" y="607081"/>
              </a:cubicBezTo>
              <a:cubicBezTo>
                <a:pt x="168455" y="597114"/>
                <a:pt x="167900" y="582934"/>
                <a:pt x="165435" y="577002"/>
              </a:cubicBezTo>
              <a:cubicBezTo>
                <a:pt x="162970" y="571070"/>
                <a:pt x="159396" y="575224"/>
                <a:pt x="155659" y="571488"/>
              </a:cubicBezTo>
              <a:cubicBezTo>
                <a:pt x="151922" y="567752"/>
                <a:pt x="150395" y="558621"/>
                <a:pt x="145382" y="556950"/>
              </a:cubicBezTo>
              <a:cubicBezTo>
                <a:pt x="143711" y="551937"/>
                <a:pt x="137445" y="549743"/>
                <a:pt x="130844" y="544291"/>
              </a:cubicBezTo>
              <a:cubicBezTo>
                <a:pt x="124243" y="538839"/>
                <a:pt x="112607" y="528792"/>
                <a:pt x="105778" y="524239"/>
              </a:cubicBezTo>
              <a:cubicBezTo>
                <a:pt x="93178" y="486435"/>
                <a:pt x="97840" y="503873"/>
                <a:pt x="95250" y="496792"/>
              </a:cubicBezTo>
              <a:cubicBezTo>
                <a:pt x="92660" y="489711"/>
                <a:pt x="93974" y="485489"/>
                <a:pt x="90237" y="481752"/>
              </a:cubicBezTo>
              <a:cubicBezTo>
                <a:pt x="70343" y="461858"/>
                <a:pt x="62747" y="462347"/>
                <a:pt x="40106" y="456687"/>
              </a:cubicBezTo>
              <a:cubicBezTo>
                <a:pt x="36764" y="453345"/>
                <a:pt x="33770" y="449613"/>
                <a:pt x="30079" y="446660"/>
              </a:cubicBezTo>
              <a:cubicBezTo>
                <a:pt x="25374" y="442896"/>
                <a:pt x="18233" y="441743"/>
                <a:pt x="15040" y="436634"/>
              </a:cubicBezTo>
              <a:cubicBezTo>
                <a:pt x="9957" y="428501"/>
                <a:pt x="2935" y="398239"/>
                <a:pt x="0" y="386502"/>
              </a:cubicBezTo>
              <a:cubicBezTo>
                <a:pt x="1671" y="371463"/>
                <a:pt x="229" y="355739"/>
                <a:pt x="5014" y="341384"/>
              </a:cubicBezTo>
              <a:cubicBezTo>
                <a:pt x="13370" y="316316"/>
                <a:pt x="22559" y="312976"/>
                <a:pt x="40106" y="301279"/>
              </a:cubicBezTo>
              <a:cubicBezTo>
                <a:pt x="51627" y="266716"/>
                <a:pt x="42659" y="278674"/>
                <a:pt x="60158" y="261173"/>
              </a:cubicBezTo>
              <a:cubicBezTo>
                <a:pt x="61829" y="254489"/>
                <a:pt x="63278" y="247746"/>
                <a:pt x="65171" y="241121"/>
              </a:cubicBezTo>
              <a:cubicBezTo>
                <a:pt x="66623" y="236040"/>
                <a:pt x="70185" y="231366"/>
                <a:pt x="70185" y="226081"/>
              </a:cubicBezTo>
              <a:cubicBezTo>
                <a:pt x="70185" y="158805"/>
                <a:pt x="64469" y="211845"/>
                <a:pt x="55145" y="155897"/>
              </a:cubicBezTo>
              <a:cubicBezTo>
                <a:pt x="38527" y="146671"/>
                <a:pt x="41432" y="113152"/>
                <a:pt x="40357" y="100251"/>
              </a:cubicBezTo>
              <a:cubicBezTo>
                <a:pt x="39663" y="91925"/>
                <a:pt x="45119" y="74015"/>
                <a:pt x="65171" y="40594"/>
              </a:cubicBezTo>
              <a:close/>
            </a:path>
          </a:pathLst>
        </a:custGeom>
        <a:solidFill>
          <a:srgbClr val="5BEB47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346</xdr:colOff>
      <xdr:row>21</xdr:row>
      <xdr:rowOff>85224</xdr:rowOff>
    </xdr:from>
    <xdr:to>
      <xdr:col>28</xdr:col>
      <xdr:colOff>439839</xdr:colOff>
      <xdr:row>29</xdr:row>
      <xdr:rowOff>70184</xdr:rowOff>
    </xdr:to>
    <xdr:sp macro="" textlink="">
      <xdr:nvSpPr>
        <xdr:cNvPr id="14" name="Freeform 13"/>
        <xdr:cNvSpPr/>
      </xdr:nvSpPr>
      <xdr:spPr>
        <a:xfrm>
          <a:off x="15240346" y="4085724"/>
          <a:ext cx="1658693" cy="1508960"/>
        </a:xfrm>
        <a:custGeom>
          <a:avLst/>
          <a:gdLst>
            <a:gd name="connsiteX0" fmla="*/ 13189 w 1662703"/>
            <a:gd name="connsiteY0" fmla="*/ 1503947 h 1508960"/>
            <a:gd name="connsiteX1" fmla="*/ 38255 w 1662703"/>
            <a:gd name="connsiteY1" fmla="*/ 1498934 h 1508960"/>
            <a:gd name="connsiteX2" fmla="*/ 68334 w 1662703"/>
            <a:gd name="connsiteY2" fmla="*/ 1503947 h 1508960"/>
            <a:gd name="connsiteX3" fmla="*/ 113453 w 1662703"/>
            <a:gd name="connsiteY3" fmla="*/ 1508960 h 1508960"/>
            <a:gd name="connsiteX4" fmla="*/ 238781 w 1662703"/>
            <a:gd name="connsiteY4" fmla="*/ 1503947 h 1508960"/>
            <a:gd name="connsiteX5" fmla="*/ 258834 w 1662703"/>
            <a:gd name="connsiteY5" fmla="*/ 1483894 h 1508960"/>
            <a:gd name="connsiteX6" fmla="*/ 263847 w 1662703"/>
            <a:gd name="connsiteY6" fmla="*/ 1468855 h 1508960"/>
            <a:gd name="connsiteX7" fmla="*/ 298939 w 1662703"/>
            <a:gd name="connsiteY7" fmla="*/ 1443789 h 1508960"/>
            <a:gd name="connsiteX8" fmla="*/ 308966 w 1662703"/>
            <a:gd name="connsiteY8" fmla="*/ 1408697 h 1508960"/>
            <a:gd name="connsiteX9" fmla="*/ 318992 w 1662703"/>
            <a:gd name="connsiteY9" fmla="*/ 1363579 h 1508960"/>
            <a:gd name="connsiteX10" fmla="*/ 329018 w 1662703"/>
            <a:gd name="connsiteY10" fmla="*/ 1353552 h 1508960"/>
            <a:gd name="connsiteX11" fmla="*/ 334031 w 1662703"/>
            <a:gd name="connsiteY11" fmla="*/ 1338513 h 1508960"/>
            <a:gd name="connsiteX12" fmla="*/ 344058 w 1662703"/>
            <a:gd name="connsiteY12" fmla="*/ 1328487 h 1508960"/>
            <a:gd name="connsiteX13" fmla="*/ 359097 w 1662703"/>
            <a:gd name="connsiteY13" fmla="*/ 1263315 h 1508960"/>
            <a:gd name="connsiteX14" fmla="*/ 369124 w 1662703"/>
            <a:gd name="connsiteY14" fmla="*/ 1253289 h 1508960"/>
            <a:gd name="connsiteX15" fmla="*/ 384163 w 1662703"/>
            <a:gd name="connsiteY15" fmla="*/ 1248276 h 1508960"/>
            <a:gd name="connsiteX16" fmla="*/ 394189 w 1662703"/>
            <a:gd name="connsiteY16" fmla="*/ 1233237 h 1508960"/>
            <a:gd name="connsiteX17" fmla="*/ 419255 w 1662703"/>
            <a:gd name="connsiteY17" fmla="*/ 1213184 h 1508960"/>
            <a:gd name="connsiteX18" fmla="*/ 434295 w 1662703"/>
            <a:gd name="connsiteY18" fmla="*/ 1208171 h 1508960"/>
            <a:gd name="connsiteX19" fmla="*/ 459360 w 1662703"/>
            <a:gd name="connsiteY19" fmla="*/ 1193131 h 1508960"/>
            <a:gd name="connsiteX20" fmla="*/ 479413 w 1662703"/>
            <a:gd name="connsiteY20" fmla="*/ 1168065 h 1508960"/>
            <a:gd name="connsiteX21" fmla="*/ 494453 w 1662703"/>
            <a:gd name="connsiteY21" fmla="*/ 1163052 h 1508960"/>
            <a:gd name="connsiteX22" fmla="*/ 504479 w 1662703"/>
            <a:gd name="connsiteY22" fmla="*/ 1148013 h 1508960"/>
            <a:gd name="connsiteX23" fmla="*/ 519518 w 1662703"/>
            <a:gd name="connsiteY23" fmla="*/ 1137987 h 1508960"/>
            <a:gd name="connsiteX24" fmla="*/ 529545 w 1662703"/>
            <a:gd name="connsiteY24" fmla="*/ 1127960 h 1508960"/>
            <a:gd name="connsiteX25" fmla="*/ 544584 w 1662703"/>
            <a:gd name="connsiteY25" fmla="*/ 1067802 h 1508960"/>
            <a:gd name="connsiteX26" fmla="*/ 554610 w 1662703"/>
            <a:gd name="connsiteY26" fmla="*/ 1022684 h 1508960"/>
            <a:gd name="connsiteX27" fmla="*/ 589703 w 1662703"/>
            <a:gd name="connsiteY27" fmla="*/ 997618 h 1508960"/>
            <a:gd name="connsiteX28" fmla="*/ 599729 w 1662703"/>
            <a:gd name="connsiteY28" fmla="*/ 982579 h 1508960"/>
            <a:gd name="connsiteX29" fmla="*/ 609755 w 1662703"/>
            <a:gd name="connsiteY29" fmla="*/ 972552 h 1508960"/>
            <a:gd name="connsiteX30" fmla="*/ 624795 w 1662703"/>
            <a:gd name="connsiteY30" fmla="*/ 937460 h 1508960"/>
            <a:gd name="connsiteX31" fmla="*/ 684953 w 1662703"/>
            <a:gd name="connsiteY31" fmla="*/ 932447 h 1508960"/>
            <a:gd name="connsiteX32" fmla="*/ 730071 w 1662703"/>
            <a:gd name="connsiteY32" fmla="*/ 927434 h 1508960"/>
            <a:gd name="connsiteX33" fmla="*/ 795242 w 1662703"/>
            <a:gd name="connsiteY33" fmla="*/ 922421 h 1508960"/>
            <a:gd name="connsiteX34" fmla="*/ 820308 w 1662703"/>
            <a:gd name="connsiteY34" fmla="*/ 907381 h 1508960"/>
            <a:gd name="connsiteX35" fmla="*/ 835347 w 1662703"/>
            <a:gd name="connsiteY35" fmla="*/ 902368 h 1508960"/>
            <a:gd name="connsiteX36" fmla="*/ 870439 w 1662703"/>
            <a:gd name="connsiteY36" fmla="*/ 902368 h 1508960"/>
            <a:gd name="connsiteX37" fmla="*/ 880466 w 1662703"/>
            <a:gd name="connsiteY37" fmla="*/ 872289 h 1508960"/>
            <a:gd name="connsiteX38" fmla="*/ 890492 w 1662703"/>
            <a:gd name="connsiteY38" fmla="*/ 857250 h 1508960"/>
            <a:gd name="connsiteX39" fmla="*/ 900518 w 1662703"/>
            <a:gd name="connsiteY39" fmla="*/ 827171 h 1508960"/>
            <a:gd name="connsiteX40" fmla="*/ 915558 w 1662703"/>
            <a:gd name="connsiteY40" fmla="*/ 762000 h 1508960"/>
            <a:gd name="connsiteX41" fmla="*/ 920571 w 1662703"/>
            <a:gd name="connsiteY41" fmla="*/ 711868 h 1508960"/>
            <a:gd name="connsiteX42" fmla="*/ 960676 w 1662703"/>
            <a:gd name="connsiteY42" fmla="*/ 686802 h 1508960"/>
            <a:gd name="connsiteX43" fmla="*/ 1005795 w 1662703"/>
            <a:gd name="connsiteY43" fmla="*/ 676776 h 1508960"/>
            <a:gd name="connsiteX44" fmla="*/ 1030860 w 1662703"/>
            <a:gd name="connsiteY44" fmla="*/ 656723 h 1508960"/>
            <a:gd name="connsiteX45" fmla="*/ 1075979 w 1662703"/>
            <a:gd name="connsiteY45" fmla="*/ 641684 h 1508960"/>
            <a:gd name="connsiteX46" fmla="*/ 1106058 w 1662703"/>
            <a:gd name="connsiteY46" fmla="*/ 631658 h 1508960"/>
            <a:gd name="connsiteX47" fmla="*/ 1136137 w 1662703"/>
            <a:gd name="connsiteY47" fmla="*/ 626644 h 1508960"/>
            <a:gd name="connsiteX48" fmla="*/ 1156189 w 1662703"/>
            <a:gd name="connsiteY48" fmla="*/ 621631 h 1508960"/>
            <a:gd name="connsiteX49" fmla="*/ 1191281 w 1662703"/>
            <a:gd name="connsiteY49" fmla="*/ 616618 h 1508960"/>
            <a:gd name="connsiteX50" fmla="*/ 1206321 w 1662703"/>
            <a:gd name="connsiteY50" fmla="*/ 611605 h 1508960"/>
            <a:gd name="connsiteX51" fmla="*/ 1226374 w 1662703"/>
            <a:gd name="connsiteY51" fmla="*/ 586539 h 1508960"/>
            <a:gd name="connsiteX52" fmla="*/ 1256453 w 1662703"/>
            <a:gd name="connsiteY52" fmla="*/ 576513 h 1508960"/>
            <a:gd name="connsiteX53" fmla="*/ 1276505 w 1662703"/>
            <a:gd name="connsiteY53" fmla="*/ 531394 h 1508960"/>
            <a:gd name="connsiteX54" fmla="*/ 1351703 w 1662703"/>
            <a:gd name="connsiteY54" fmla="*/ 516355 h 1508960"/>
            <a:gd name="connsiteX55" fmla="*/ 1386795 w 1662703"/>
            <a:gd name="connsiteY55" fmla="*/ 506329 h 1508960"/>
            <a:gd name="connsiteX56" fmla="*/ 1406847 w 1662703"/>
            <a:gd name="connsiteY56" fmla="*/ 481263 h 1508960"/>
            <a:gd name="connsiteX57" fmla="*/ 1416874 w 1662703"/>
            <a:gd name="connsiteY57" fmla="*/ 451184 h 1508960"/>
            <a:gd name="connsiteX58" fmla="*/ 1436926 w 1662703"/>
            <a:gd name="connsiteY58" fmla="*/ 426118 h 1508960"/>
            <a:gd name="connsiteX59" fmla="*/ 1487058 w 1662703"/>
            <a:gd name="connsiteY59" fmla="*/ 421105 h 1508960"/>
            <a:gd name="connsiteX60" fmla="*/ 1507110 w 1662703"/>
            <a:gd name="connsiteY60" fmla="*/ 391026 h 1508960"/>
            <a:gd name="connsiteX61" fmla="*/ 1537189 w 1662703"/>
            <a:gd name="connsiteY61" fmla="*/ 381000 h 1508960"/>
            <a:gd name="connsiteX62" fmla="*/ 1637453 w 1662703"/>
            <a:gd name="connsiteY62" fmla="*/ 370973 h 1508960"/>
            <a:gd name="connsiteX63" fmla="*/ 1652492 w 1662703"/>
            <a:gd name="connsiteY63" fmla="*/ 365960 h 1508960"/>
            <a:gd name="connsiteX64" fmla="*/ 1662518 w 1662703"/>
            <a:gd name="connsiteY64" fmla="*/ 350921 h 1508960"/>
            <a:gd name="connsiteX65" fmla="*/ 1642466 w 1662703"/>
            <a:gd name="connsiteY65" fmla="*/ 320842 h 1508960"/>
            <a:gd name="connsiteX66" fmla="*/ 1637453 w 1662703"/>
            <a:gd name="connsiteY66" fmla="*/ 305802 h 1508960"/>
            <a:gd name="connsiteX67" fmla="*/ 1627426 w 1662703"/>
            <a:gd name="connsiteY67" fmla="*/ 295776 h 1508960"/>
            <a:gd name="connsiteX68" fmla="*/ 1622413 w 1662703"/>
            <a:gd name="connsiteY68" fmla="*/ 270710 h 1508960"/>
            <a:gd name="connsiteX69" fmla="*/ 1612387 w 1662703"/>
            <a:gd name="connsiteY69" fmla="*/ 240631 h 1508960"/>
            <a:gd name="connsiteX70" fmla="*/ 1602360 w 1662703"/>
            <a:gd name="connsiteY70" fmla="*/ 200526 h 1508960"/>
            <a:gd name="connsiteX71" fmla="*/ 1587321 w 1662703"/>
            <a:gd name="connsiteY71" fmla="*/ 115302 h 1508960"/>
            <a:gd name="connsiteX72" fmla="*/ 1572281 w 1662703"/>
            <a:gd name="connsiteY72" fmla="*/ 110289 h 1508960"/>
            <a:gd name="connsiteX73" fmla="*/ 1542203 w 1662703"/>
            <a:gd name="connsiteY73" fmla="*/ 85223 h 1508960"/>
            <a:gd name="connsiteX74" fmla="*/ 1527163 w 1662703"/>
            <a:gd name="connsiteY74" fmla="*/ 80210 h 1508960"/>
            <a:gd name="connsiteX75" fmla="*/ 1472018 w 1662703"/>
            <a:gd name="connsiteY75" fmla="*/ 60158 h 1508960"/>
            <a:gd name="connsiteX76" fmla="*/ 1441939 w 1662703"/>
            <a:gd name="connsiteY76" fmla="*/ 50131 h 1508960"/>
            <a:gd name="connsiteX77" fmla="*/ 1426900 w 1662703"/>
            <a:gd name="connsiteY77" fmla="*/ 45118 h 1508960"/>
            <a:gd name="connsiteX78" fmla="*/ 1346689 w 1662703"/>
            <a:gd name="connsiteY78" fmla="*/ 35092 h 1508960"/>
            <a:gd name="connsiteX79" fmla="*/ 1321624 w 1662703"/>
            <a:gd name="connsiteY79" fmla="*/ 20052 h 1508960"/>
            <a:gd name="connsiteX80" fmla="*/ 1311597 w 1662703"/>
            <a:gd name="connsiteY80" fmla="*/ 10026 h 1508960"/>
            <a:gd name="connsiteX81" fmla="*/ 1266479 w 1662703"/>
            <a:gd name="connsiteY81" fmla="*/ 0 h 1508960"/>
            <a:gd name="connsiteX82" fmla="*/ 1216347 w 1662703"/>
            <a:gd name="connsiteY82" fmla="*/ 5013 h 1508960"/>
            <a:gd name="connsiteX83" fmla="*/ 1201308 w 1662703"/>
            <a:gd name="connsiteY83" fmla="*/ 10026 h 1508960"/>
            <a:gd name="connsiteX84" fmla="*/ 1191281 w 1662703"/>
            <a:gd name="connsiteY84" fmla="*/ 45118 h 1508960"/>
            <a:gd name="connsiteX85" fmla="*/ 1186268 w 1662703"/>
            <a:gd name="connsiteY85" fmla="*/ 60158 h 1508960"/>
            <a:gd name="connsiteX86" fmla="*/ 1156189 w 1662703"/>
            <a:gd name="connsiteY86" fmla="*/ 100263 h 1508960"/>
            <a:gd name="connsiteX87" fmla="*/ 1141150 w 1662703"/>
            <a:gd name="connsiteY87" fmla="*/ 125329 h 1508960"/>
            <a:gd name="connsiteX88" fmla="*/ 1116084 w 1662703"/>
            <a:gd name="connsiteY88" fmla="*/ 160421 h 1508960"/>
            <a:gd name="connsiteX89" fmla="*/ 1070966 w 1662703"/>
            <a:gd name="connsiteY89" fmla="*/ 175460 h 1508960"/>
            <a:gd name="connsiteX90" fmla="*/ 1055926 w 1662703"/>
            <a:gd name="connsiteY90" fmla="*/ 180473 h 1508960"/>
            <a:gd name="connsiteX91" fmla="*/ 1050913 w 1662703"/>
            <a:gd name="connsiteY91" fmla="*/ 195513 h 1508960"/>
            <a:gd name="connsiteX92" fmla="*/ 1035874 w 1662703"/>
            <a:gd name="connsiteY92" fmla="*/ 200526 h 1508960"/>
            <a:gd name="connsiteX93" fmla="*/ 1010808 w 1662703"/>
            <a:gd name="connsiteY93" fmla="*/ 215565 h 1508960"/>
            <a:gd name="connsiteX94" fmla="*/ 985742 w 1662703"/>
            <a:gd name="connsiteY94" fmla="*/ 235618 h 1508960"/>
            <a:gd name="connsiteX95" fmla="*/ 965689 w 1662703"/>
            <a:gd name="connsiteY95" fmla="*/ 240631 h 1508960"/>
            <a:gd name="connsiteX96" fmla="*/ 935610 w 1662703"/>
            <a:gd name="connsiteY96" fmla="*/ 250658 h 1508960"/>
            <a:gd name="connsiteX97" fmla="*/ 920571 w 1662703"/>
            <a:gd name="connsiteY97" fmla="*/ 265697 h 1508960"/>
            <a:gd name="connsiteX98" fmla="*/ 915558 w 1662703"/>
            <a:gd name="connsiteY98" fmla="*/ 280737 h 1508960"/>
            <a:gd name="connsiteX99" fmla="*/ 900518 w 1662703"/>
            <a:gd name="connsiteY99" fmla="*/ 285750 h 1508960"/>
            <a:gd name="connsiteX100" fmla="*/ 880466 w 1662703"/>
            <a:gd name="connsiteY100" fmla="*/ 310815 h 1508960"/>
            <a:gd name="connsiteX101" fmla="*/ 875453 w 1662703"/>
            <a:gd name="connsiteY101" fmla="*/ 325855 h 1508960"/>
            <a:gd name="connsiteX102" fmla="*/ 865426 w 1662703"/>
            <a:gd name="connsiteY102" fmla="*/ 335881 h 1508960"/>
            <a:gd name="connsiteX103" fmla="*/ 845374 w 1662703"/>
            <a:gd name="connsiteY103" fmla="*/ 360947 h 1508960"/>
            <a:gd name="connsiteX104" fmla="*/ 840360 w 1662703"/>
            <a:gd name="connsiteY104" fmla="*/ 375987 h 1508960"/>
            <a:gd name="connsiteX105" fmla="*/ 825321 w 1662703"/>
            <a:gd name="connsiteY105" fmla="*/ 406065 h 1508960"/>
            <a:gd name="connsiteX106" fmla="*/ 820308 w 1662703"/>
            <a:gd name="connsiteY106" fmla="*/ 466223 h 1508960"/>
            <a:gd name="connsiteX107" fmla="*/ 810281 w 1662703"/>
            <a:gd name="connsiteY107" fmla="*/ 496302 h 1508960"/>
            <a:gd name="connsiteX108" fmla="*/ 805268 w 1662703"/>
            <a:gd name="connsiteY108" fmla="*/ 511342 h 1508960"/>
            <a:gd name="connsiteX109" fmla="*/ 800255 w 1662703"/>
            <a:gd name="connsiteY109" fmla="*/ 541421 h 1508960"/>
            <a:gd name="connsiteX110" fmla="*/ 785216 w 1662703"/>
            <a:gd name="connsiteY110" fmla="*/ 636671 h 1508960"/>
            <a:gd name="connsiteX111" fmla="*/ 770176 w 1662703"/>
            <a:gd name="connsiteY111" fmla="*/ 646697 h 1508960"/>
            <a:gd name="connsiteX112" fmla="*/ 765163 w 1662703"/>
            <a:gd name="connsiteY112" fmla="*/ 661737 h 1508960"/>
            <a:gd name="connsiteX113" fmla="*/ 750124 w 1662703"/>
            <a:gd name="connsiteY113" fmla="*/ 671763 h 1508960"/>
            <a:gd name="connsiteX114" fmla="*/ 725058 w 1662703"/>
            <a:gd name="connsiteY114" fmla="*/ 691815 h 1508960"/>
            <a:gd name="connsiteX115" fmla="*/ 710018 w 1662703"/>
            <a:gd name="connsiteY115" fmla="*/ 696829 h 1508960"/>
            <a:gd name="connsiteX116" fmla="*/ 694979 w 1662703"/>
            <a:gd name="connsiteY116" fmla="*/ 706855 h 1508960"/>
            <a:gd name="connsiteX117" fmla="*/ 664900 w 1662703"/>
            <a:gd name="connsiteY117" fmla="*/ 716881 h 1508960"/>
            <a:gd name="connsiteX118" fmla="*/ 639834 w 1662703"/>
            <a:gd name="connsiteY118" fmla="*/ 731921 h 1508960"/>
            <a:gd name="connsiteX119" fmla="*/ 624795 w 1662703"/>
            <a:gd name="connsiteY119" fmla="*/ 741947 h 1508960"/>
            <a:gd name="connsiteX120" fmla="*/ 614768 w 1662703"/>
            <a:gd name="connsiteY120" fmla="*/ 751973 h 1508960"/>
            <a:gd name="connsiteX121" fmla="*/ 599729 w 1662703"/>
            <a:gd name="connsiteY121" fmla="*/ 756987 h 1508960"/>
            <a:gd name="connsiteX122" fmla="*/ 584689 w 1662703"/>
            <a:gd name="connsiteY122" fmla="*/ 767013 h 1508960"/>
            <a:gd name="connsiteX123" fmla="*/ 564637 w 1662703"/>
            <a:gd name="connsiteY123" fmla="*/ 787065 h 1508960"/>
            <a:gd name="connsiteX124" fmla="*/ 554610 w 1662703"/>
            <a:gd name="connsiteY124" fmla="*/ 797092 h 1508960"/>
            <a:gd name="connsiteX125" fmla="*/ 489439 w 1662703"/>
            <a:gd name="connsiteY125" fmla="*/ 802105 h 1508960"/>
            <a:gd name="connsiteX126" fmla="*/ 474400 w 1662703"/>
            <a:gd name="connsiteY126" fmla="*/ 807118 h 1508960"/>
            <a:gd name="connsiteX127" fmla="*/ 454347 w 1662703"/>
            <a:gd name="connsiteY127" fmla="*/ 832184 h 1508960"/>
            <a:gd name="connsiteX128" fmla="*/ 439308 w 1662703"/>
            <a:gd name="connsiteY128" fmla="*/ 837197 h 1508960"/>
            <a:gd name="connsiteX129" fmla="*/ 419255 w 1662703"/>
            <a:gd name="connsiteY129" fmla="*/ 857250 h 1508960"/>
            <a:gd name="connsiteX130" fmla="*/ 404216 w 1662703"/>
            <a:gd name="connsiteY130" fmla="*/ 867276 h 1508960"/>
            <a:gd name="connsiteX131" fmla="*/ 369124 w 1662703"/>
            <a:gd name="connsiteY131" fmla="*/ 897355 h 1508960"/>
            <a:gd name="connsiteX132" fmla="*/ 349071 w 1662703"/>
            <a:gd name="connsiteY132" fmla="*/ 942473 h 1508960"/>
            <a:gd name="connsiteX133" fmla="*/ 344058 w 1662703"/>
            <a:gd name="connsiteY133" fmla="*/ 957513 h 1508960"/>
            <a:gd name="connsiteX134" fmla="*/ 318992 w 1662703"/>
            <a:gd name="connsiteY134" fmla="*/ 977565 h 1508960"/>
            <a:gd name="connsiteX135" fmla="*/ 313979 w 1662703"/>
            <a:gd name="connsiteY135" fmla="*/ 992605 h 1508960"/>
            <a:gd name="connsiteX136" fmla="*/ 273874 w 1662703"/>
            <a:gd name="connsiteY136" fmla="*/ 1022684 h 1508960"/>
            <a:gd name="connsiteX137" fmla="*/ 268860 w 1662703"/>
            <a:gd name="connsiteY137" fmla="*/ 1047750 h 1508960"/>
            <a:gd name="connsiteX138" fmla="*/ 258834 w 1662703"/>
            <a:gd name="connsiteY138" fmla="*/ 1062789 h 1508960"/>
            <a:gd name="connsiteX139" fmla="*/ 248808 w 1662703"/>
            <a:gd name="connsiteY139" fmla="*/ 1092868 h 1508960"/>
            <a:gd name="connsiteX140" fmla="*/ 233768 w 1662703"/>
            <a:gd name="connsiteY140" fmla="*/ 1137987 h 1508960"/>
            <a:gd name="connsiteX141" fmla="*/ 228755 w 1662703"/>
            <a:gd name="connsiteY141" fmla="*/ 1153026 h 1508960"/>
            <a:gd name="connsiteX142" fmla="*/ 218729 w 1662703"/>
            <a:gd name="connsiteY142" fmla="*/ 1168065 h 1508960"/>
            <a:gd name="connsiteX143" fmla="*/ 183637 w 1662703"/>
            <a:gd name="connsiteY143" fmla="*/ 1198144 h 1508960"/>
            <a:gd name="connsiteX144" fmla="*/ 178624 w 1662703"/>
            <a:gd name="connsiteY144" fmla="*/ 1213184 h 1508960"/>
            <a:gd name="connsiteX145" fmla="*/ 153558 w 1662703"/>
            <a:gd name="connsiteY145" fmla="*/ 1228223 h 1508960"/>
            <a:gd name="connsiteX146" fmla="*/ 143531 w 1662703"/>
            <a:gd name="connsiteY146" fmla="*/ 1238250 h 1508960"/>
            <a:gd name="connsiteX147" fmla="*/ 128492 w 1662703"/>
            <a:gd name="connsiteY147" fmla="*/ 1243263 h 1508960"/>
            <a:gd name="connsiteX148" fmla="*/ 123479 w 1662703"/>
            <a:gd name="connsiteY148" fmla="*/ 1258302 h 1508960"/>
            <a:gd name="connsiteX149" fmla="*/ 113453 w 1662703"/>
            <a:gd name="connsiteY149" fmla="*/ 1268329 h 1508960"/>
            <a:gd name="connsiteX150" fmla="*/ 108439 w 1662703"/>
            <a:gd name="connsiteY150" fmla="*/ 1283368 h 1508960"/>
            <a:gd name="connsiteX151" fmla="*/ 98413 w 1662703"/>
            <a:gd name="connsiteY151" fmla="*/ 1298408 h 1508960"/>
            <a:gd name="connsiteX152" fmla="*/ 93400 w 1662703"/>
            <a:gd name="connsiteY152" fmla="*/ 1333500 h 1508960"/>
            <a:gd name="connsiteX153" fmla="*/ 73347 w 1662703"/>
            <a:gd name="connsiteY153" fmla="*/ 1363579 h 1508960"/>
            <a:gd name="connsiteX154" fmla="*/ 68334 w 1662703"/>
            <a:gd name="connsiteY154" fmla="*/ 1403684 h 1508960"/>
            <a:gd name="connsiteX155" fmla="*/ 38255 w 1662703"/>
            <a:gd name="connsiteY155" fmla="*/ 1423737 h 1508960"/>
            <a:gd name="connsiteX156" fmla="*/ 13189 w 1662703"/>
            <a:gd name="connsiteY156" fmla="*/ 1443789 h 1508960"/>
            <a:gd name="connsiteX157" fmla="*/ 3163 w 1662703"/>
            <a:gd name="connsiteY157" fmla="*/ 1473868 h 1508960"/>
            <a:gd name="connsiteX158" fmla="*/ 13189 w 1662703"/>
            <a:gd name="connsiteY158" fmla="*/ 1503947 h 150896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  <a:cxn ang="0">
              <a:pos x="connsiteX39" y="connsiteY39"/>
            </a:cxn>
            <a:cxn ang="0">
              <a:pos x="connsiteX40" y="connsiteY40"/>
            </a:cxn>
            <a:cxn ang="0">
              <a:pos x="connsiteX41" y="connsiteY41"/>
            </a:cxn>
            <a:cxn ang="0">
              <a:pos x="connsiteX42" y="connsiteY42"/>
            </a:cxn>
            <a:cxn ang="0">
              <a:pos x="connsiteX43" y="connsiteY43"/>
            </a:cxn>
            <a:cxn ang="0">
              <a:pos x="connsiteX44" y="connsiteY44"/>
            </a:cxn>
            <a:cxn ang="0">
              <a:pos x="connsiteX45" y="connsiteY45"/>
            </a:cxn>
            <a:cxn ang="0">
              <a:pos x="connsiteX46" y="connsiteY46"/>
            </a:cxn>
            <a:cxn ang="0">
              <a:pos x="connsiteX47" y="connsiteY47"/>
            </a:cxn>
            <a:cxn ang="0">
              <a:pos x="connsiteX48" y="connsiteY48"/>
            </a:cxn>
            <a:cxn ang="0">
              <a:pos x="connsiteX49" y="connsiteY49"/>
            </a:cxn>
            <a:cxn ang="0">
              <a:pos x="connsiteX50" y="connsiteY50"/>
            </a:cxn>
            <a:cxn ang="0">
              <a:pos x="connsiteX51" y="connsiteY51"/>
            </a:cxn>
            <a:cxn ang="0">
              <a:pos x="connsiteX52" y="connsiteY52"/>
            </a:cxn>
            <a:cxn ang="0">
              <a:pos x="connsiteX53" y="connsiteY53"/>
            </a:cxn>
            <a:cxn ang="0">
              <a:pos x="connsiteX54" y="connsiteY54"/>
            </a:cxn>
            <a:cxn ang="0">
              <a:pos x="connsiteX55" y="connsiteY55"/>
            </a:cxn>
            <a:cxn ang="0">
              <a:pos x="connsiteX56" y="connsiteY56"/>
            </a:cxn>
            <a:cxn ang="0">
              <a:pos x="connsiteX57" y="connsiteY57"/>
            </a:cxn>
            <a:cxn ang="0">
              <a:pos x="connsiteX58" y="connsiteY58"/>
            </a:cxn>
            <a:cxn ang="0">
              <a:pos x="connsiteX59" y="connsiteY59"/>
            </a:cxn>
            <a:cxn ang="0">
              <a:pos x="connsiteX60" y="connsiteY60"/>
            </a:cxn>
            <a:cxn ang="0">
              <a:pos x="connsiteX61" y="connsiteY61"/>
            </a:cxn>
            <a:cxn ang="0">
              <a:pos x="connsiteX62" y="connsiteY62"/>
            </a:cxn>
            <a:cxn ang="0">
              <a:pos x="connsiteX63" y="connsiteY63"/>
            </a:cxn>
            <a:cxn ang="0">
              <a:pos x="connsiteX64" y="connsiteY64"/>
            </a:cxn>
            <a:cxn ang="0">
              <a:pos x="connsiteX65" y="connsiteY65"/>
            </a:cxn>
            <a:cxn ang="0">
              <a:pos x="connsiteX66" y="connsiteY66"/>
            </a:cxn>
            <a:cxn ang="0">
              <a:pos x="connsiteX67" y="connsiteY67"/>
            </a:cxn>
            <a:cxn ang="0">
              <a:pos x="connsiteX68" y="connsiteY68"/>
            </a:cxn>
            <a:cxn ang="0">
              <a:pos x="connsiteX69" y="connsiteY69"/>
            </a:cxn>
            <a:cxn ang="0">
              <a:pos x="connsiteX70" y="connsiteY70"/>
            </a:cxn>
            <a:cxn ang="0">
              <a:pos x="connsiteX71" y="connsiteY71"/>
            </a:cxn>
            <a:cxn ang="0">
              <a:pos x="connsiteX72" y="connsiteY72"/>
            </a:cxn>
            <a:cxn ang="0">
              <a:pos x="connsiteX73" y="connsiteY73"/>
            </a:cxn>
            <a:cxn ang="0">
              <a:pos x="connsiteX74" y="connsiteY74"/>
            </a:cxn>
            <a:cxn ang="0">
              <a:pos x="connsiteX75" y="connsiteY75"/>
            </a:cxn>
            <a:cxn ang="0">
              <a:pos x="connsiteX76" y="connsiteY76"/>
            </a:cxn>
            <a:cxn ang="0">
              <a:pos x="connsiteX77" y="connsiteY77"/>
            </a:cxn>
            <a:cxn ang="0">
              <a:pos x="connsiteX78" y="connsiteY78"/>
            </a:cxn>
            <a:cxn ang="0">
              <a:pos x="connsiteX79" y="connsiteY79"/>
            </a:cxn>
            <a:cxn ang="0">
              <a:pos x="connsiteX80" y="connsiteY80"/>
            </a:cxn>
            <a:cxn ang="0">
              <a:pos x="connsiteX81" y="connsiteY81"/>
            </a:cxn>
            <a:cxn ang="0">
              <a:pos x="connsiteX82" y="connsiteY82"/>
            </a:cxn>
            <a:cxn ang="0">
              <a:pos x="connsiteX83" y="connsiteY83"/>
            </a:cxn>
            <a:cxn ang="0">
              <a:pos x="connsiteX84" y="connsiteY84"/>
            </a:cxn>
            <a:cxn ang="0">
              <a:pos x="connsiteX85" y="connsiteY85"/>
            </a:cxn>
            <a:cxn ang="0">
              <a:pos x="connsiteX86" y="connsiteY86"/>
            </a:cxn>
            <a:cxn ang="0">
              <a:pos x="connsiteX87" y="connsiteY87"/>
            </a:cxn>
            <a:cxn ang="0">
              <a:pos x="connsiteX88" y="connsiteY88"/>
            </a:cxn>
            <a:cxn ang="0">
              <a:pos x="connsiteX89" y="connsiteY89"/>
            </a:cxn>
            <a:cxn ang="0">
              <a:pos x="connsiteX90" y="connsiteY90"/>
            </a:cxn>
            <a:cxn ang="0">
              <a:pos x="connsiteX91" y="connsiteY91"/>
            </a:cxn>
            <a:cxn ang="0">
              <a:pos x="connsiteX92" y="connsiteY92"/>
            </a:cxn>
            <a:cxn ang="0">
              <a:pos x="connsiteX93" y="connsiteY93"/>
            </a:cxn>
            <a:cxn ang="0">
              <a:pos x="connsiteX94" y="connsiteY94"/>
            </a:cxn>
            <a:cxn ang="0">
              <a:pos x="connsiteX95" y="connsiteY95"/>
            </a:cxn>
            <a:cxn ang="0">
              <a:pos x="connsiteX96" y="connsiteY96"/>
            </a:cxn>
            <a:cxn ang="0">
              <a:pos x="connsiteX97" y="connsiteY97"/>
            </a:cxn>
            <a:cxn ang="0">
              <a:pos x="connsiteX98" y="connsiteY98"/>
            </a:cxn>
            <a:cxn ang="0">
              <a:pos x="connsiteX99" y="connsiteY99"/>
            </a:cxn>
            <a:cxn ang="0">
              <a:pos x="connsiteX100" y="connsiteY100"/>
            </a:cxn>
            <a:cxn ang="0">
              <a:pos x="connsiteX101" y="connsiteY101"/>
            </a:cxn>
            <a:cxn ang="0">
              <a:pos x="connsiteX102" y="connsiteY102"/>
            </a:cxn>
            <a:cxn ang="0">
              <a:pos x="connsiteX103" y="connsiteY103"/>
            </a:cxn>
            <a:cxn ang="0">
              <a:pos x="connsiteX104" y="connsiteY104"/>
            </a:cxn>
            <a:cxn ang="0">
              <a:pos x="connsiteX105" y="connsiteY105"/>
            </a:cxn>
            <a:cxn ang="0">
              <a:pos x="connsiteX106" y="connsiteY106"/>
            </a:cxn>
            <a:cxn ang="0">
              <a:pos x="connsiteX107" y="connsiteY107"/>
            </a:cxn>
            <a:cxn ang="0">
              <a:pos x="connsiteX108" y="connsiteY108"/>
            </a:cxn>
            <a:cxn ang="0">
              <a:pos x="connsiteX109" y="connsiteY109"/>
            </a:cxn>
            <a:cxn ang="0">
              <a:pos x="connsiteX110" y="connsiteY110"/>
            </a:cxn>
            <a:cxn ang="0">
              <a:pos x="connsiteX111" y="connsiteY111"/>
            </a:cxn>
            <a:cxn ang="0">
              <a:pos x="connsiteX112" y="connsiteY112"/>
            </a:cxn>
            <a:cxn ang="0">
              <a:pos x="connsiteX113" y="connsiteY113"/>
            </a:cxn>
            <a:cxn ang="0">
              <a:pos x="connsiteX114" y="connsiteY114"/>
            </a:cxn>
            <a:cxn ang="0">
              <a:pos x="connsiteX115" y="connsiteY115"/>
            </a:cxn>
            <a:cxn ang="0">
              <a:pos x="connsiteX116" y="connsiteY116"/>
            </a:cxn>
            <a:cxn ang="0">
              <a:pos x="connsiteX117" y="connsiteY117"/>
            </a:cxn>
            <a:cxn ang="0">
              <a:pos x="connsiteX118" y="connsiteY118"/>
            </a:cxn>
            <a:cxn ang="0">
              <a:pos x="connsiteX119" y="connsiteY119"/>
            </a:cxn>
            <a:cxn ang="0">
              <a:pos x="connsiteX120" y="connsiteY120"/>
            </a:cxn>
            <a:cxn ang="0">
              <a:pos x="connsiteX121" y="connsiteY121"/>
            </a:cxn>
            <a:cxn ang="0">
              <a:pos x="connsiteX122" y="connsiteY122"/>
            </a:cxn>
            <a:cxn ang="0">
              <a:pos x="connsiteX123" y="connsiteY123"/>
            </a:cxn>
            <a:cxn ang="0">
              <a:pos x="connsiteX124" y="connsiteY124"/>
            </a:cxn>
            <a:cxn ang="0">
              <a:pos x="connsiteX125" y="connsiteY125"/>
            </a:cxn>
            <a:cxn ang="0">
              <a:pos x="connsiteX126" y="connsiteY126"/>
            </a:cxn>
            <a:cxn ang="0">
              <a:pos x="connsiteX127" y="connsiteY127"/>
            </a:cxn>
            <a:cxn ang="0">
              <a:pos x="connsiteX128" y="connsiteY128"/>
            </a:cxn>
            <a:cxn ang="0">
              <a:pos x="connsiteX129" y="connsiteY129"/>
            </a:cxn>
            <a:cxn ang="0">
              <a:pos x="connsiteX130" y="connsiteY130"/>
            </a:cxn>
            <a:cxn ang="0">
              <a:pos x="connsiteX131" y="connsiteY131"/>
            </a:cxn>
            <a:cxn ang="0">
              <a:pos x="connsiteX132" y="connsiteY132"/>
            </a:cxn>
            <a:cxn ang="0">
              <a:pos x="connsiteX133" y="connsiteY133"/>
            </a:cxn>
            <a:cxn ang="0">
              <a:pos x="connsiteX134" y="connsiteY134"/>
            </a:cxn>
            <a:cxn ang="0">
              <a:pos x="connsiteX135" y="connsiteY135"/>
            </a:cxn>
            <a:cxn ang="0">
              <a:pos x="connsiteX136" y="connsiteY136"/>
            </a:cxn>
            <a:cxn ang="0">
              <a:pos x="connsiteX137" y="connsiteY137"/>
            </a:cxn>
            <a:cxn ang="0">
              <a:pos x="connsiteX138" y="connsiteY138"/>
            </a:cxn>
            <a:cxn ang="0">
              <a:pos x="connsiteX139" y="connsiteY139"/>
            </a:cxn>
            <a:cxn ang="0">
              <a:pos x="connsiteX140" y="connsiteY140"/>
            </a:cxn>
            <a:cxn ang="0">
              <a:pos x="connsiteX141" y="connsiteY141"/>
            </a:cxn>
            <a:cxn ang="0">
              <a:pos x="connsiteX142" y="connsiteY142"/>
            </a:cxn>
            <a:cxn ang="0">
              <a:pos x="connsiteX143" y="connsiteY143"/>
            </a:cxn>
            <a:cxn ang="0">
              <a:pos x="connsiteX144" y="connsiteY144"/>
            </a:cxn>
            <a:cxn ang="0">
              <a:pos x="connsiteX145" y="connsiteY145"/>
            </a:cxn>
            <a:cxn ang="0">
              <a:pos x="connsiteX146" y="connsiteY146"/>
            </a:cxn>
            <a:cxn ang="0">
              <a:pos x="connsiteX147" y="connsiteY147"/>
            </a:cxn>
            <a:cxn ang="0">
              <a:pos x="connsiteX148" y="connsiteY148"/>
            </a:cxn>
            <a:cxn ang="0">
              <a:pos x="connsiteX149" y="connsiteY149"/>
            </a:cxn>
            <a:cxn ang="0">
              <a:pos x="connsiteX150" y="connsiteY150"/>
            </a:cxn>
            <a:cxn ang="0">
              <a:pos x="connsiteX151" y="connsiteY151"/>
            </a:cxn>
            <a:cxn ang="0">
              <a:pos x="connsiteX152" y="connsiteY152"/>
            </a:cxn>
            <a:cxn ang="0">
              <a:pos x="connsiteX153" y="connsiteY153"/>
            </a:cxn>
            <a:cxn ang="0">
              <a:pos x="connsiteX154" y="connsiteY154"/>
            </a:cxn>
            <a:cxn ang="0">
              <a:pos x="connsiteX155" y="connsiteY155"/>
            </a:cxn>
            <a:cxn ang="0">
              <a:pos x="connsiteX156" y="connsiteY156"/>
            </a:cxn>
            <a:cxn ang="0">
              <a:pos x="connsiteX157" y="connsiteY157"/>
            </a:cxn>
            <a:cxn ang="0">
              <a:pos x="connsiteX158" y="connsiteY158"/>
            </a:cxn>
          </a:cxnLst>
          <a:rect l="l" t="t" r="r" b="b"/>
          <a:pathLst>
            <a:path w="1662703" h="1508960">
              <a:moveTo>
                <a:pt x="13189" y="1503947"/>
              </a:moveTo>
              <a:cubicBezTo>
                <a:pt x="21544" y="1502276"/>
                <a:pt x="29734" y="1498934"/>
                <a:pt x="38255" y="1498934"/>
              </a:cubicBezTo>
              <a:cubicBezTo>
                <a:pt x="48420" y="1498934"/>
                <a:pt x="58259" y="1502604"/>
                <a:pt x="68334" y="1503947"/>
              </a:cubicBezTo>
              <a:cubicBezTo>
                <a:pt x="83333" y="1505947"/>
                <a:pt x="98413" y="1507289"/>
                <a:pt x="113453" y="1508960"/>
              </a:cubicBezTo>
              <a:cubicBezTo>
                <a:pt x="155229" y="1507289"/>
                <a:pt x="197580" y="1511051"/>
                <a:pt x="238781" y="1503947"/>
              </a:cubicBezTo>
              <a:cubicBezTo>
                <a:pt x="248097" y="1502341"/>
                <a:pt x="258834" y="1483894"/>
                <a:pt x="258834" y="1483894"/>
              </a:cubicBezTo>
              <a:cubicBezTo>
                <a:pt x="260505" y="1478881"/>
                <a:pt x="260776" y="1473155"/>
                <a:pt x="263847" y="1468855"/>
              </a:cubicBezTo>
              <a:cubicBezTo>
                <a:pt x="278716" y="1448039"/>
                <a:pt x="279919" y="1450129"/>
                <a:pt x="298939" y="1443789"/>
              </a:cubicBezTo>
              <a:cubicBezTo>
                <a:pt x="303719" y="1429451"/>
                <a:pt x="305817" y="1424440"/>
                <a:pt x="308966" y="1408697"/>
              </a:cubicBezTo>
              <a:cubicBezTo>
                <a:pt x="310282" y="1402116"/>
                <a:pt x="313138" y="1373336"/>
                <a:pt x="318992" y="1363579"/>
              </a:cubicBezTo>
              <a:cubicBezTo>
                <a:pt x="321424" y="1359526"/>
                <a:pt x="325676" y="1356894"/>
                <a:pt x="329018" y="1353552"/>
              </a:cubicBezTo>
              <a:cubicBezTo>
                <a:pt x="330689" y="1348539"/>
                <a:pt x="331312" y="1343044"/>
                <a:pt x="334031" y="1338513"/>
              </a:cubicBezTo>
              <a:cubicBezTo>
                <a:pt x="336463" y="1334460"/>
                <a:pt x="342563" y="1332971"/>
                <a:pt x="344058" y="1328487"/>
              </a:cubicBezTo>
              <a:cubicBezTo>
                <a:pt x="348193" y="1316082"/>
                <a:pt x="347456" y="1274955"/>
                <a:pt x="359097" y="1263315"/>
              </a:cubicBezTo>
              <a:cubicBezTo>
                <a:pt x="362439" y="1259973"/>
                <a:pt x="365071" y="1255721"/>
                <a:pt x="369124" y="1253289"/>
              </a:cubicBezTo>
              <a:cubicBezTo>
                <a:pt x="373655" y="1250570"/>
                <a:pt x="379150" y="1249947"/>
                <a:pt x="384163" y="1248276"/>
              </a:cubicBezTo>
              <a:cubicBezTo>
                <a:pt x="387505" y="1243263"/>
                <a:pt x="390425" y="1237942"/>
                <a:pt x="394189" y="1233237"/>
              </a:cubicBezTo>
              <a:cubicBezTo>
                <a:pt x="400406" y="1225466"/>
                <a:pt x="410569" y="1217527"/>
                <a:pt x="419255" y="1213184"/>
              </a:cubicBezTo>
              <a:cubicBezTo>
                <a:pt x="423982" y="1210821"/>
                <a:pt x="429282" y="1209842"/>
                <a:pt x="434295" y="1208171"/>
              </a:cubicBezTo>
              <a:cubicBezTo>
                <a:pt x="459694" y="1182769"/>
                <a:pt x="426827" y="1212650"/>
                <a:pt x="459360" y="1193131"/>
              </a:cubicBezTo>
              <a:cubicBezTo>
                <a:pt x="479807" y="1180863"/>
                <a:pt x="458913" y="1184465"/>
                <a:pt x="479413" y="1168065"/>
              </a:cubicBezTo>
              <a:cubicBezTo>
                <a:pt x="483539" y="1164764"/>
                <a:pt x="489440" y="1164723"/>
                <a:pt x="494453" y="1163052"/>
              </a:cubicBezTo>
              <a:cubicBezTo>
                <a:pt x="497795" y="1158039"/>
                <a:pt x="500219" y="1152273"/>
                <a:pt x="504479" y="1148013"/>
              </a:cubicBezTo>
              <a:cubicBezTo>
                <a:pt x="508739" y="1143753"/>
                <a:pt x="514813" y="1141751"/>
                <a:pt x="519518" y="1137987"/>
              </a:cubicBezTo>
              <a:cubicBezTo>
                <a:pt x="523209" y="1135034"/>
                <a:pt x="526203" y="1131302"/>
                <a:pt x="529545" y="1127960"/>
              </a:cubicBezTo>
              <a:cubicBezTo>
                <a:pt x="544189" y="1084026"/>
                <a:pt x="536483" y="1112357"/>
                <a:pt x="544584" y="1067802"/>
              </a:cubicBezTo>
              <a:cubicBezTo>
                <a:pt x="544744" y="1066920"/>
                <a:pt x="552547" y="1025984"/>
                <a:pt x="554610" y="1022684"/>
              </a:cubicBezTo>
              <a:cubicBezTo>
                <a:pt x="567131" y="1002650"/>
                <a:pt x="571994" y="1003520"/>
                <a:pt x="589703" y="997618"/>
              </a:cubicBezTo>
              <a:cubicBezTo>
                <a:pt x="593045" y="992605"/>
                <a:pt x="595965" y="987284"/>
                <a:pt x="599729" y="982579"/>
              </a:cubicBezTo>
              <a:cubicBezTo>
                <a:pt x="602682" y="978888"/>
                <a:pt x="607893" y="976896"/>
                <a:pt x="609755" y="972552"/>
              </a:cubicBezTo>
              <a:cubicBezTo>
                <a:pt x="612441" y="966284"/>
                <a:pt x="610548" y="940513"/>
                <a:pt x="624795" y="937460"/>
              </a:cubicBezTo>
              <a:cubicBezTo>
                <a:pt x="644470" y="933244"/>
                <a:pt x="664900" y="934118"/>
                <a:pt x="684953" y="932447"/>
              </a:cubicBezTo>
              <a:cubicBezTo>
                <a:pt x="723990" y="912929"/>
                <a:pt x="684720" y="927434"/>
                <a:pt x="730071" y="927434"/>
              </a:cubicBezTo>
              <a:cubicBezTo>
                <a:pt x="751859" y="927434"/>
                <a:pt x="773518" y="924092"/>
                <a:pt x="795242" y="922421"/>
              </a:cubicBezTo>
              <a:cubicBezTo>
                <a:pt x="837843" y="908221"/>
                <a:pt x="785901" y="928026"/>
                <a:pt x="820308" y="907381"/>
              </a:cubicBezTo>
              <a:cubicBezTo>
                <a:pt x="824839" y="904662"/>
                <a:pt x="830334" y="904039"/>
                <a:pt x="835347" y="902368"/>
              </a:cubicBezTo>
              <a:cubicBezTo>
                <a:pt x="845121" y="905626"/>
                <a:pt x="860647" y="913791"/>
                <a:pt x="870439" y="902368"/>
              </a:cubicBezTo>
              <a:cubicBezTo>
                <a:pt x="877317" y="894344"/>
                <a:pt x="874604" y="881083"/>
                <a:pt x="880466" y="872289"/>
              </a:cubicBezTo>
              <a:lnTo>
                <a:pt x="890492" y="857250"/>
              </a:lnTo>
              <a:cubicBezTo>
                <a:pt x="893834" y="847224"/>
                <a:pt x="899561" y="837696"/>
                <a:pt x="900518" y="827171"/>
              </a:cubicBezTo>
              <a:cubicBezTo>
                <a:pt x="905959" y="767319"/>
                <a:pt x="892479" y="785077"/>
                <a:pt x="915558" y="762000"/>
              </a:cubicBezTo>
              <a:cubicBezTo>
                <a:pt x="917229" y="745289"/>
                <a:pt x="916795" y="728232"/>
                <a:pt x="920571" y="711868"/>
              </a:cubicBezTo>
              <a:cubicBezTo>
                <a:pt x="925205" y="691787"/>
                <a:pt x="944624" y="692153"/>
                <a:pt x="960676" y="686802"/>
              </a:cubicBezTo>
              <a:cubicBezTo>
                <a:pt x="985355" y="678576"/>
                <a:pt x="970512" y="682656"/>
                <a:pt x="1005795" y="676776"/>
              </a:cubicBezTo>
              <a:cubicBezTo>
                <a:pt x="1060643" y="658493"/>
                <a:pt x="979029" y="689118"/>
                <a:pt x="1030860" y="656723"/>
              </a:cubicBezTo>
              <a:cubicBezTo>
                <a:pt x="1030862" y="656722"/>
                <a:pt x="1068458" y="644191"/>
                <a:pt x="1075979" y="641684"/>
              </a:cubicBezTo>
              <a:lnTo>
                <a:pt x="1106058" y="631658"/>
              </a:lnTo>
              <a:cubicBezTo>
                <a:pt x="1116084" y="629987"/>
                <a:pt x="1126170" y="628638"/>
                <a:pt x="1136137" y="626644"/>
              </a:cubicBezTo>
              <a:cubicBezTo>
                <a:pt x="1142893" y="625293"/>
                <a:pt x="1149410" y="622863"/>
                <a:pt x="1156189" y="621631"/>
              </a:cubicBezTo>
              <a:cubicBezTo>
                <a:pt x="1167814" y="619517"/>
                <a:pt x="1179584" y="618289"/>
                <a:pt x="1191281" y="616618"/>
              </a:cubicBezTo>
              <a:cubicBezTo>
                <a:pt x="1196294" y="614947"/>
                <a:pt x="1202195" y="614906"/>
                <a:pt x="1206321" y="611605"/>
              </a:cubicBezTo>
              <a:cubicBezTo>
                <a:pt x="1218133" y="602155"/>
                <a:pt x="1212742" y="593355"/>
                <a:pt x="1226374" y="586539"/>
              </a:cubicBezTo>
              <a:cubicBezTo>
                <a:pt x="1235827" y="581813"/>
                <a:pt x="1256453" y="576513"/>
                <a:pt x="1256453" y="576513"/>
              </a:cubicBezTo>
              <a:cubicBezTo>
                <a:pt x="1257236" y="574164"/>
                <a:pt x="1266972" y="536160"/>
                <a:pt x="1276505" y="531394"/>
              </a:cubicBezTo>
              <a:cubicBezTo>
                <a:pt x="1294514" y="522389"/>
                <a:pt x="1331747" y="519983"/>
                <a:pt x="1351703" y="516355"/>
              </a:cubicBezTo>
              <a:cubicBezTo>
                <a:pt x="1365549" y="513838"/>
                <a:pt x="1373911" y="510623"/>
                <a:pt x="1386795" y="506329"/>
              </a:cubicBezTo>
              <a:cubicBezTo>
                <a:pt x="1405076" y="451482"/>
                <a:pt x="1374456" y="533088"/>
                <a:pt x="1406847" y="481263"/>
              </a:cubicBezTo>
              <a:cubicBezTo>
                <a:pt x="1412448" y="472301"/>
                <a:pt x="1413532" y="461210"/>
                <a:pt x="1416874" y="451184"/>
              </a:cubicBezTo>
              <a:cubicBezTo>
                <a:pt x="1421109" y="438478"/>
                <a:pt x="1420549" y="429897"/>
                <a:pt x="1436926" y="426118"/>
              </a:cubicBezTo>
              <a:cubicBezTo>
                <a:pt x="1453290" y="422342"/>
                <a:pt x="1470347" y="422776"/>
                <a:pt x="1487058" y="421105"/>
              </a:cubicBezTo>
              <a:cubicBezTo>
                <a:pt x="1493742" y="411079"/>
                <a:pt x="1495678" y="394836"/>
                <a:pt x="1507110" y="391026"/>
              </a:cubicBezTo>
              <a:cubicBezTo>
                <a:pt x="1517136" y="387684"/>
                <a:pt x="1526651" y="381811"/>
                <a:pt x="1537189" y="381000"/>
              </a:cubicBezTo>
              <a:cubicBezTo>
                <a:pt x="1614142" y="375081"/>
                <a:pt x="1580791" y="379069"/>
                <a:pt x="1637453" y="370973"/>
              </a:cubicBezTo>
              <a:cubicBezTo>
                <a:pt x="1642466" y="369302"/>
                <a:pt x="1648366" y="369261"/>
                <a:pt x="1652492" y="365960"/>
              </a:cubicBezTo>
              <a:cubicBezTo>
                <a:pt x="1657197" y="362196"/>
                <a:pt x="1661528" y="356864"/>
                <a:pt x="1662518" y="350921"/>
              </a:cubicBezTo>
              <a:cubicBezTo>
                <a:pt x="1664591" y="338483"/>
                <a:pt x="1648728" y="327104"/>
                <a:pt x="1642466" y="320842"/>
              </a:cubicBezTo>
              <a:cubicBezTo>
                <a:pt x="1640795" y="315829"/>
                <a:pt x="1640172" y="310333"/>
                <a:pt x="1637453" y="305802"/>
              </a:cubicBezTo>
              <a:cubicBezTo>
                <a:pt x="1635021" y="301749"/>
                <a:pt x="1629288" y="300120"/>
                <a:pt x="1627426" y="295776"/>
              </a:cubicBezTo>
              <a:cubicBezTo>
                <a:pt x="1624069" y="287944"/>
                <a:pt x="1624655" y="278931"/>
                <a:pt x="1622413" y="270710"/>
              </a:cubicBezTo>
              <a:cubicBezTo>
                <a:pt x="1619632" y="260514"/>
                <a:pt x="1614460" y="250994"/>
                <a:pt x="1612387" y="240631"/>
              </a:cubicBezTo>
              <a:cubicBezTo>
                <a:pt x="1606338" y="210383"/>
                <a:pt x="1610069" y="223648"/>
                <a:pt x="1602360" y="200526"/>
              </a:cubicBezTo>
              <a:cubicBezTo>
                <a:pt x="1601136" y="182165"/>
                <a:pt x="1614338" y="131512"/>
                <a:pt x="1587321" y="115302"/>
              </a:cubicBezTo>
              <a:cubicBezTo>
                <a:pt x="1582790" y="112583"/>
                <a:pt x="1577294" y="111960"/>
                <a:pt x="1572281" y="110289"/>
              </a:cubicBezTo>
              <a:cubicBezTo>
                <a:pt x="1561197" y="99205"/>
                <a:pt x="1556159" y="92201"/>
                <a:pt x="1542203" y="85223"/>
              </a:cubicBezTo>
              <a:cubicBezTo>
                <a:pt x="1537476" y="82860"/>
                <a:pt x="1532176" y="81881"/>
                <a:pt x="1527163" y="80210"/>
              </a:cubicBezTo>
              <a:cubicBezTo>
                <a:pt x="1507352" y="50493"/>
                <a:pt x="1526620" y="71079"/>
                <a:pt x="1472018" y="60158"/>
              </a:cubicBezTo>
              <a:cubicBezTo>
                <a:pt x="1461654" y="58085"/>
                <a:pt x="1451965" y="53473"/>
                <a:pt x="1441939" y="50131"/>
              </a:cubicBezTo>
              <a:cubicBezTo>
                <a:pt x="1436926" y="48460"/>
                <a:pt x="1432082" y="46154"/>
                <a:pt x="1426900" y="45118"/>
              </a:cubicBezTo>
              <a:cubicBezTo>
                <a:pt x="1383735" y="36485"/>
                <a:pt x="1410320" y="40876"/>
                <a:pt x="1346689" y="35092"/>
              </a:cubicBezTo>
              <a:cubicBezTo>
                <a:pt x="1321290" y="9690"/>
                <a:pt x="1354157" y="39571"/>
                <a:pt x="1321624" y="20052"/>
              </a:cubicBezTo>
              <a:cubicBezTo>
                <a:pt x="1317571" y="17620"/>
                <a:pt x="1315650" y="12458"/>
                <a:pt x="1311597" y="10026"/>
              </a:cubicBezTo>
              <a:cubicBezTo>
                <a:pt x="1302103" y="4330"/>
                <a:pt x="1272554" y="1013"/>
                <a:pt x="1266479" y="0"/>
              </a:cubicBezTo>
              <a:cubicBezTo>
                <a:pt x="1249768" y="1671"/>
                <a:pt x="1232946" y="2459"/>
                <a:pt x="1216347" y="5013"/>
              </a:cubicBezTo>
              <a:cubicBezTo>
                <a:pt x="1211124" y="5816"/>
                <a:pt x="1205044" y="6290"/>
                <a:pt x="1201308" y="10026"/>
              </a:cubicBezTo>
              <a:cubicBezTo>
                <a:pt x="1198905" y="12429"/>
                <a:pt x="1191332" y="44938"/>
                <a:pt x="1191281" y="45118"/>
              </a:cubicBezTo>
              <a:cubicBezTo>
                <a:pt x="1189829" y="50199"/>
                <a:pt x="1188834" y="55538"/>
                <a:pt x="1186268" y="60158"/>
              </a:cubicBezTo>
              <a:cubicBezTo>
                <a:pt x="1172096" y="85669"/>
                <a:pt x="1171402" y="85051"/>
                <a:pt x="1156189" y="100263"/>
              </a:cubicBezTo>
              <a:cubicBezTo>
                <a:pt x="1141988" y="142865"/>
                <a:pt x="1161793" y="90922"/>
                <a:pt x="1141150" y="125329"/>
              </a:cubicBezTo>
              <a:cubicBezTo>
                <a:pt x="1131795" y="140921"/>
                <a:pt x="1142293" y="151685"/>
                <a:pt x="1116084" y="160421"/>
              </a:cubicBezTo>
              <a:lnTo>
                <a:pt x="1070966" y="175460"/>
              </a:lnTo>
              <a:lnTo>
                <a:pt x="1055926" y="180473"/>
              </a:lnTo>
              <a:cubicBezTo>
                <a:pt x="1054255" y="185486"/>
                <a:pt x="1054650" y="191776"/>
                <a:pt x="1050913" y="195513"/>
              </a:cubicBezTo>
              <a:cubicBezTo>
                <a:pt x="1047177" y="199250"/>
                <a:pt x="1040405" y="197807"/>
                <a:pt x="1035874" y="200526"/>
              </a:cubicBezTo>
              <a:cubicBezTo>
                <a:pt x="1001467" y="221169"/>
                <a:pt x="1053410" y="201364"/>
                <a:pt x="1010808" y="215565"/>
              </a:cubicBezTo>
              <a:cubicBezTo>
                <a:pt x="1002723" y="223650"/>
                <a:pt x="996809" y="230875"/>
                <a:pt x="985742" y="235618"/>
              </a:cubicBezTo>
              <a:cubicBezTo>
                <a:pt x="979409" y="238332"/>
                <a:pt x="972288" y="238651"/>
                <a:pt x="965689" y="240631"/>
              </a:cubicBezTo>
              <a:cubicBezTo>
                <a:pt x="955566" y="243668"/>
                <a:pt x="935610" y="250658"/>
                <a:pt x="935610" y="250658"/>
              </a:cubicBezTo>
              <a:cubicBezTo>
                <a:pt x="930597" y="255671"/>
                <a:pt x="924503" y="259798"/>
                <a:pt x="920571" y="265697"/>
              </a:cubicBezTo>
              <a:cubicBezTo>
                <a:pt x="917640" y="270094"/>
                <a:pt x="919295" y="277000"/>
                <a:pt x="915558" y="280737"/>
              </a:cubicBezTo>
              <a:cubicBezTo>
                <a:pt x="911821" y="284474"/>
                <a:pt x="905531" y="284079"/>
                <a:pt x="900518" y="285750"/>
              </a:cubicBezTo>
              <a:cubicBezTo>
                <a:pt x="887917" y="323553"/>
                <a:pt x="906381" y="278420"/>
                <a:pt x="880466" y="310815"/>
              </a:cubicBezTo>
              <a:cubicBezTo>
                <a:pt x="877165" y="314942"/>
                <a:pt x="878172" y="321324"/>
                <a:pt x="875453" y="325855"/>
              </a:cubicBezTo>
              <a:cubicBezTo>
                <a:pt x="873021" y="329908"/>
                <a:pt x="868768" y="332539"/>
                <a:pt x="865426" y="335881"/>
              </a:cubicBezTo>
              <a:cubicBezTo>
                <a:pt x="852826" y="373683"/>
                <a:pt x="871288" y="328555"/>
                <a:pt x="845374" y="360947"/>
              </a:cubicBezTo>
              <a:cubicBezTo>
                <a:pt x="842073" y="365074"/>
                <a:pt x="842723" y="371260"/>
                <a:pt x="840360" y="375987"/>
              </a:cubicBezTo>
              <a:cubicBezTo>
                <a:pt x="820926" y="414855"/>
                <a:pt x="837920" y="368267"/>
                <a:pt x="825321" y="406065"/>
              </a:cubicBezTo>
              <a:cubicBezTo>
                <a:pt x="823650" y="426118"/>
                <a:pt x="823616" y="446375"/>
                <a:pt x="820308" y="466223"/>
              </a:cubicBezTo>
              <a:cubicBezTo>
                <a:pt x="818570" y="476648"/>
                <a:pt x="813623" y="486276"/>
                <a:pt x="810281" y="496302"/>
              </a:cubicBezTo>
              <a:cubicBezTo>
                <a:pt x="808610" y="501315"/>
                <a:pt x="806137" y="506129"/>
                <a:pt x="805268" y="511342"/>
              </a:cubicBezTo>
              <a:lnTo>
                <a:pt x="800255" y="541421"/>
              </a:lnTo>
              <a:cubicBezTo>
                <a:pt x="797206" y="593251"/>
                <a:pt x="814991" y="612851"/>
                <a:pt x="785216" y="636671"/>
              </a:cubicBezTo>
              <a:cubicBezTo>
                <a:pt x="780511" y="640435"/>
                <a:pt x="775189" y="643355"/>
                <a:pt x="770176" y="646697"/>
              </a:cubicBezTo>
              <a:cubicBezTo>
                <a:pt x="768505" y="651710"/>
                <a:pt x="768464" y="657610"/>
                <a:pt x="765163" y="661737"/>
              </a:cubicBezTo>
              <a:cubicBezTo>
                <a:pt x="761399" y="666442"/>
                <a:pt x="754829" y="667999"/>
                <a:pt x="750124" y="671763"/>
              </a:cubicBezTo>
              <a:cubicBezTo>
                <a:pt x="734582" y="684196"/>
                <a:pt x="745628" y="681529"/>
                <a:pt x="725058" y="691815"/>
              </a:cubicBezTo>
              <a:cubicBezTo>
                <a:pt x="720331" y="694178"/>
                <a:pt x="714745" y="694466"/>
                <a:pt x="710018" y="696829"/>
              </a:cubicBezTo>
              <a:cubicBezTo>
                <a:pt x="704629" y="699523"/>
                <a:pt x="700485" y="704408"/>
                <a:pt x="694979" y="706855"/>
              </a:cubicBezTo>
              <a:cubicBezTo>
                <a:pt x="685321" y="711147"/>
                <a:pt x="664900" y="716881"/>
                <a:pt x="664900" y="716881"/>
              </a:cubicBezTo>
              <a:cubicBezTo>
                <a:pt x="645318" y="736465"/>
                <a:pt x="665865" y="718906"/>
                <a:pt x="639834" y="731921"/>
              </a:cubicBezTo>
              <a:cubicBezTo>
                <a:pt x="634445" y="734615"/>
                <a:pt x="629500" y="738183"/>
                <a:pt x="624795" y="741947"/>
              </a:cubicBezTo>
              <a:cubicBezTo>
                <a:pt x="621104" y="744900"/>
                <a:pt x="618821" y="749541"/>
                <a:pt x="614768" y="751973"/>
              </a:cubicBezTo>
              <a:cubicBezTo>
                <a:pt x="610237" y="754692"/>
                <a:pt x="604455" y="754624"/>
                <a:pt x="599729" y="756987"/>
              </a:cubicBezTo>
              <a:cubicBezTo>
                <a:pt x="594340" y="759682"/>
                <a:pt x="589702" y="763671"/>
                <a:pt x="584689" y="767013"/>
              </a:cubicBezTo>
              <a:cubicBezTo>
                <a:pt x="575777" y="793749"/>
                <a:pt x="586917" y="773697"/>
                <a:pt x="564637" y="787065"/>
              </a:cubicBezTo>
              <a:cubicBezTo>
                <a:pt x="560584" y="789497"/>
                <a:pt x="559245" y="796165"/>
                <a:pt x="554610" y="797092"/>
              </a:cubicBezTo>
              <a:cubicBezTo>
                <a:pt x="533245" y="801365"/>
                <a:pt x="511163" y="800434"/>
                <a:pt x="489439" y="802105"/>
              </a:cubicBezTo>
              <a:cubicBezTo>
                <a:pt x="484426" y="803776"/>
                <a:pt x="478526" y="803817"/>
                <a:pt x="474400" y="807118"/>
              </a:cubicBezTo>
              <a:cubicBezTo>
                <a:pt x="453904" y="823516"/>
                <a:pt x="474792" y="819918"/>
                <a:pt x="454347" y="832184"/>
              </a:cubicBezTo>
              <a:cubicBezTo>
                <a:pt x="449816" y="834903"/>
                <a:pt x="444321" y="835526"/>
                <a:pt x="439308" y="837197"/>
              </a:cubicBezTo>
              <a:cubicBezTo>
                <a:pt x="432624" y="843881"/>
                <a:pt x="427120" y="852006"/>
                <a:pt x="419255" y="857250"/>
              </a:cubicBezTo>
              <a:cubicBezTo>
                <a:pt x="414242" y="860592"/>
                <a:pt x="408790" y="863355"/>
                <a:pt x="404216" y="867276"/>
              </a:cubicBezTo>
              <a:cubicBezTo>
                <a:pt x="361669" y="903745"/>
                <a:pt x="403650" y="874338"/>
                <a:pt x="369124" y="897355"/>
              </a:cubicBezTo>
              <a:cubicBezTo>
                <a:pt x="357192" y="933150"/>
                <a:pt x="364959" y="918640"/>
                <a:pt x="349071" y="942473"/>
              </a:cubicBezTo>
              <a:cubicBezTo>
                <a:pt x="347400" y="947486"/>
                <a:pt x="346777" y="952982"/>
                <a:pt x="344058" y="957513"/>
              </a:cubicBezTo>
              <a:cubicBezTo>
                <a:pt x="339297" y="965448"/>
                <a:pt x="325821" y="973012"/>
                <a:pt x="318992" y="977565"/>
              </a:cubicBezTo>
              <a:cubicBezTo>
                <a:pt x="317321" y="982578"/>
                <a:pt x="317150" y="988377"/>
                <a:pt x="313979" y="992605"/>
              </a:cubicBezTo>
              <a:cubicBezTo>
                <a:pt x="294778" y="1018207"/>
                <a:pt x="295829" y="1015366"/>
                <a:pt x="273874" y="1022684"/>
              </a:cubicBezTo>
              <a:cubicBezTo>
                <a:pt x="272203" y="1031039"/>
                <a:pt x="271852" y="1039772"/>
                <a:pt x="268860" y="1047750"/>
              </a:cubicBezTo>
              <a:cubicBezTo>
                <a:pt x="266744" y="1053391"/>
                <a:pt x="261281" y="1057283"/>
                <a:pt x="258834" y="1062789"/>
              </a:cubicBezTo>
              <a:cubicBezTo>
                <a:pt x="254542" y="1072447"/>
                <a:pt x="252150" y="1082842"/>
                <a:pt x="248808" y="1092868"/>
              </a:cubicBezTo>
              <a:lnTo>
                <a:pt x="233768" y="1137987"/>
              </a:lnTo>
              <a:cubicBezTo>
                <a:pt x="232097" y="1143000"/>
                <a:pt x="231686" y="1148629"/>
                <a:pt x="228755" y="1153026"/>
              </a:cubicBezTo>
              <a:cubicBezTo>
                <a:pt x="225413" y="1158039"/>
                <a:pt x="222650" y="1163491"/>
                <a:pt x="218729" y="1168065"/>
              </a:cubicBezTo>
              <a:cubicBezTo>
                <a:pt x="202520" y="1186975"/>
                <a:pt x="201376" y="1186318"/>
                <a:pt x="183637" y="1198144"/>
              </a:cubicBezTo>
              <a:cubicBezTo>
                <a:pt x="181966" y="1203157"/>
                <a:pt x="181343" y="1208653"/>
                <a:pt x="178624" y="1213184"/>
              </a:cubicBezTo>
              <a:cubicBezTo>
                <a:pt x="171743" y="1224652"/>
                <a:pt x="165386" y="1224280"/>
                <a:pt x="153558" y="1228223"/>
              </a:cubicBezTo>
              <a:cubicBezTo>
                <a:pt x="150216" y="1231565"/>
                <a:pt x="147584" y="1235818"/>
                <a:pt x="143531" y="1238250"/>
              </a:cubicBezTo>
              <a:cubicBezTo>
                <a:pt x="139000" y="1240969"/>
                <a:pt x="132228" y="1239527"/>
                <a:pt x="128492" y="1243263"/>
              </a:cubicBezTo>
              <a:cubicBezTo>
                <a:pt x="124756" y="1246999"/>
                <a:pt x="126198" y="1253771"/>
                <a:pt x="123479" y="1258302"/>
              </a:cubicBezTo>
              <a:cubicBezTo>
                <a:pt x="121047" y="1262355"/>
                <a:pt x="116795" y="1264987"/>
                <a:pt x="113453" y="1268329"/>
              </a:cubicBezTo>
              <a:cubicBezTo>
                <a:pt x="111782" y="1273342"/>
                <a:pt x="110802" y="1278642"/>
                <a:pt x="108439" y="1283368"/>
              </a:cubicBezTo>
              <a:cubicBezTo>
                <a:pt x="105744" y="1288757"/>
                <a:pt x="100144" y="1292637"/>
                <a:pt x="98413" y="1298408"/>
              </a:cubicBezTo>
              <a:cubicBezTo>
                <a:pt x="95018" y="1309726"/>
                <a:pt x="97642" y="1322472"/>
                <a:pt x="93400" y="1333500"/>
              </a:cubicBezTo>
              <a:cubicBezTo>
                <a:pt x="89074" y="1344747"/>
                <a:pt x="73347" y="1363579"/>
                <a:pt x="73347" y="1363579"/>
              </a:cubicBezTo>
              <a:cubicBezTo>
                <a:pt x="71676" y="1376947"/>
                <a:pt x="72938" y="1391023"/>
                <a:pt x="68334" y="1403684"/>
              </a:cubicBezTo>
              <a:cubicBezTo>
                <a:pt x="61999" y="1421105"/>
                <a:pt x="50747" y="1417491"/>
                <a:pt x="38255" y="1423737"/>
              </a:cubicBezTo>
              <a:cubicBezTo>
                <a:pt x="25608" y="1430061"/>
                <a:pt x="22515" y="1434464"/>
                <a:pt x="13189" y="1443789"/>
              </a:cubicBezTo>
              <a:cubicBezTo>
                <a:pt x="9847" y="1453815"/>
                <a:pt x="-6863" y="1470526"/>
                <a:pt x="3163" y="1473868"/>
              </a:cubicBezTo>
              <a:lnTo>
                <a:pt x="13189" y="1503947"/>
              </a:lnTo>
              <a:close/>
            </a:path>
          </a:pathLst>
        </a:custGeom>
        <a:solidFill>
          <a:srgbClr val="5BEB47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34</xdr:col>
      <xdr:colOff>166688</xdr:colOff>
      <xdr:row>21</xdr:row>
      <xdr:rowOff>157163</xdr:rowOff>
    </xdr:from>
    <xdr:to>
      <xdr:col>34</xdr:col>
      <xdr:colOff>273844</xdr:colOff>
      <xdr:row>22</xdr:row>
      <xdr:rowOff>133350</xdr:rowOff>
    </xdr:to>
    <xdr:sp macro="" textlink="">
      <xdr:nvSpPr>
        <xdr:cNvPr id="15" name="Freeform 14"/>
        <xdr:cNvSpPr/>
      </xdr:nvSpPr>
      <xdr:spPr>
        <a:xfrm>
          <a:off x="20435888" y="4157663"/>
          <a:ext cx="107156" cy="166687"/>
        </a:xfrm>
        <a:custGeom>
          <a:avLst/>
          <a:gdLst>
            <a:gd name="connsiteX0" fmla="*/ 38100 w 107156"/>
            <a:gd name="connsiteY0" fmla="*/ 0 h 166687"/>
            <a:gd name="connsiteX1" fmla="*/ 33337 w 107156"/>
            <a:gd name="connsiteY1" fmla="*/ 19050 h 166687"/>
            <a:gd name="connsiteX2" fmla="*/ 19050 w 107156"/>
            <a:gd name="connsiteY2" fmla="*/ 26193 h 166687"/>
            <a:gd name="connsiteX3" fmla="*/ 9525 w 107156"/>
            <a:gd name="connsiteY3" fmla="*/ 35718 h 166687"/>
            <a:gd name="connsiteX4" fmla="*/ 0 w 107156"/>
            <a:gd name="connsiteY4" fmla="*/ 50006 h 166687"/>
            <a:gd name="connsiteX5" fmla="*/ 2381 w 107156"/>
            <a:gd name="connsiteY5" fmla="*/ 59531 h 166687"/>
            <a:gd name="connsiteX6" fmla="*/ 11906 w 107156"/>
            <a:gd name="connsiteY6" fmla="*/ 73818 h 166687"/>
            <a:gd name="connsiteX7" fmla="*/ 9525 w 107156"/>
            <a:gd name="connsiteY7" fmla="*/ 83343 h 166687"/>
            <a:gd name="connsiteX8" fmla="*/ 7143 w 107156"/>
            <a:gd name="connsiteY8" fmla="*/ 95250 h 166687"/>
            <a:gd name="connsiteX9" fmla="*/ 4762 w 107156"/>
            <a:gd name="connsiteY9" fmla="*/ 102393 h 166687"/>
            <a:gd name="connsiteX10" fmla="*/ 4762 w 107156"/>
            <a:gd name="connsiteY10" fmla="*/ 164306 h 166687"/>
            <a:gd name="connsiteX11" fmla="*/ 11906 w 107156"/>
            <a:gd name="connsiteY11" fmla="*/ 166687 h 166687"/>
            <a:gd name="connsiteX12" fmla="*/ 19050 w 107156"/>
            <a:gd name="connsiteY12" fmla="*/ 164306 h 166687"/>
            <a:gd name="connsiteX13" fmla="*/ 28575 w 107156"/>
            <a:gd name="connsiteY13" fmla="*/ 150018 h 166687"/>
            <a:gd name="connsiteX14" fmla="*/ 38100 w 107156"/>
            <a:gd name="connsiteY14" fmla="*/ 147637 h 166687"/>
            <a:gd name="connsiteX15" fmla="*/ 45243 w 107156"/>
            <a:gd name="connsiteY15" fmla="*/ 142875 h 166687"/>
            <a:gd name="connsiteX16" fmla="*/ 47625 w 107156"/>
            <a:gd name="connsiteY16" fmla="*/ 119062 h 166687"/>
            <a:gd name="connsiteX17" fmla="*/ 50006 w 107156"/>
            <a:gd name="connsiteY17" fmla="*/ 111918 h 166687"/>
            <a:gd name="connsiteX18" fmla="*/ 64293 w 107156"/>
            <a:gd name="connsiteY18" fmla="*/ 102393 h 166687"/>
            <a:gd name="connsiteX19" fmla="*/ 78581 w 107156"/>
            <a:gd name="connsiteY19" fmla="*/ 95250 h 166687"/>
            <a:gd name="connsiteX20" fmla="*/ 83343 w 107156"/>
            <a:gd name="connsiteY20" fmla="*/ 88106 h 166687"/>
            <a:gd name="connsiteX21" fmla="*/ 90487 w 107156"/>
            <a:gd name="connsiteY21" fmla="*/ 66675 h 166687"/>
            <a:gd name="connsiteX22" fmla="*/ 100012 w 107156"/>
            <a:gd name="connsiteY22" fmla="*/ 57150 h 166687"/>
            <a:gd name="connsiteX23" fmla="*/ 102393 w 107156"/>
            <a:gd name="connsiteY23" fmla="*/ 50006 h 166687"/>
            <a:gd name="connsiteX24" fmla="*/ 107156 w 107156"/>
            <a:gd name="connsiteY24" fmla="*/ 42862 h 166687"/>
            <a:gd name="connsiteX25" fmla="*/ 97631 w 107156"/>
            <a:gd name="connsiteY25" fmla="*/ 23812 h 166687"/>
            <a:gd name="connsiteX26" fmla="*/ 83343 w 107156"/>
            <a:gd name="connsiteY26" fmla="*/ 19050 h 166687"/>
            <a:gd name="connsiteX27" fmla="*/ 38100 w 107156"/>
            <a:gd name="connsiteY27" fmla="*/ 0 h 16668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</a:cxnLst>
          <a:rect l="l" t="t" r="r" b="b"/>
          <a:pathLst>
            <a:path w="107156" h="166687">
              <a:moveTo>
                <a:pt x="38100" y="0"/>
              </a:moveTo>
              <a:cubicBezTo>
                <a:pt x="29766" y="0"/>
                <a:pt x="35288" y="16611"/>
                <a:pt x="33337" y="19050"/>
              </a:cubicBezTo>
              <a:cubicBezTo>
                <a:pt x="29981" y="23245"/>
                <a:pt x="23755" y="24625"/>
                <a:pt x="19050" y="26193"/>
              </a:cubicBezTo>
              <a:cubicBezTo>
                <a:pt x="12697" y="45246"/>
                <a:pt x="22226" y="23016"/>
                <a:pt x="9525" y="35718"/>
              </a:cubicBezTo>
              <a:cubicBezTo>
                <a:pt x="5478" y="39766"/>
                <a:pt x="0" y="50006"/>
                <a:pt x="0" y="50006"/>
              </a:cubicBezTo>
              <a:cubicBezTo>
                <a:pt x="794" y="53181"/>
                <a:pt x="917" y="56604"/>
                <a:pt x="2381" y="59531"/>
              </a:cubicBezTo>
              <a:cubicBezTo>
                <a:pt x="4941" y="64650"/>
                <a:pt x="11906" y="73818"/>
                <a:pt x="11906" y="73818"/>
              </a:cubicBezTo>
              <a:cubicBezTo>
                <a:pt x="11112" y="76993"/>
                <a:pt x="10235" y="80148"/>
                <a:pt x="9525" y="83343"/>
              </a:cubicBezTo>
              <a:cubicBezTo>
                <a:pt x="8647" y="87294"/>
                <a:pt x="8125" y="91323"/>
                <a:pt x="7143" y="95250"/>
              </a:cubicBezTo>
              <a:cubicBezTo>
                <a:pt x="6534" y="97685"/>
                <a:pt x="5556" y="100012"/>
                <a:pt x="4762" y="102393"/>
              </a:cubicBezTo>
              <a:cubicBezTo>
                <a:pt x="4665" y="104142"/>
                <a:pt x="-574" y="152301"/>
                <a:pt x="4762" y="164306"/>
              </a:cubicBezTo>
              <a:cubicBezTo>
                <a:pt x="5781" y="166600"/>
                <a:pt x="9525" y="165893"/>
                <a:pt x="11906" y="166687"/>
              </a:cubicBezTo>
              <a:cubicBezTo>
                <a:pt x="14287" y="165893"/>
                <a:pt x="17275" y="166081"/>
                <a:pt x="19050" y="164306"/>
              </a:cubicBezTo>
              <a:cubicBezTo>
                <a:pt x="23097" y="160259"/>
                <a:pt x="23022" y="151406"/>
                <a:pt x="28575" y="150018"/>
              </a:cubicBezTo>
              <a:lnTo>
                <a:pt x="38100" y="147637"/>
              </a:lnTo>
              <a:cubicBezTo>
                <a:pt x="40481" y="146050"/>
                <a:pt x="44338" y="145590"/>
                <a:pt x="45243" y="142875"/>
              </a:cubicBezTo>
              <a:cubicBezTo>
                <a:pt x="47766" y="135307"/>
                <a:pt x="46412" y="126947"/>
                <a:pt x="47625" y="119062"/>
              </a:cubicBezTo>
              <a:cubicBezTo>
                <a:pt x="48007" y="116581"/>
                <a:pt x="48231" y="113693"/>
                <a:pt x="50006" y="111918"/>
              </a:cubicBezTo>
              <a:cubicBezTo>
                <a:pt x="54053" y="107871"/>
                <a:pt x="59531" y="105568"/>
                <a:pt x="64293" y="102393"/>
              </a:cubicBezTo>
              <a:cubicBezTo>
                <a:pt x="73523" y="96239"/>
                <a:pt x="68724" y="98535"/>
                <a:pt x="78581" y="95250"/>
              </a:cubicBezTo>
              <a:cubicBezTo>
                <a:pt x="80168" y="92869"/>
                <a:pt x="82438" y="90821"/>
                <a:pt x="83343" y="88106"/>
              </a:cubicBezTo>
              <a:cubicBezTo>
                <a:pt x="91898" y="62442"/>
                <a:pt x="79667" y="82904"/>
                <a:pt x="90487" y="66675"/>
              </a:cubicBezTo>
              <a:cubicBezTo>
                <a:pt x="96836" y="47624"/>
                <a:pt x="87312" y="69850"/>
                <a:pt x="100012" y="57150"/>
              </a:cubicBezTo>
              <a:cubicBezTo>
                <a:pt x="101787" y="55375"/>
                <a:pt x="101270" y="52251"/>
                <a:pt x="102393" y="50006"/>
              </a:cubicBezTo>
              <a:cubicBezTo>
                <a:pt x="103673" y="47446"/>
                <a:pt x="105568" y="45243"/>
                <a:pt x="107156" y="42862"/>
              </a:cubicBezTo>
              <a:cubicBezTo>
                <a:pt x="105058" y="30272"/>
                <a:pt x="108346" y="28574"/>
                <a:pt x="97631" y="23812"/>
              </a:cubicBezTo>
              <a:cubicBezTo>
                <a:pt x="93043" y="21773"/>
                <a:pt x="83343" y="19050"/>
                <a:pt x="83343" y="19050"/>
              </a:cubicBezTo>
              <a:cubicBezTo>
                <a:pt x="74723" y="13302"/>
                <a:pt x="46434" y="0"/>
                <a:pt x="38100" y="0"/>
              </a:cubicBezTo>
              <a:close/>
            </a:path>
          </a:pathLst>
        </a:custGeom>
        <a:solidFill>
          <a:srgbClr val="5BEB47"/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109808</xdr:colOff>
      <xdr:row>20</xdr:row>
      <xdr:rowOff>79368</xdr:rowOff>
    </xdr:from>
    <xdr:to>
      <xdr:col>40</xdr:col>
      <xdr:colOff>105131</xdr:colOff>
      <xdr:row>33</xdr:row>
      <xdr:rowOff>38440</xdr:rowOff>
    </xdr:to>
    <xdr:grpSp>
      <xdr:nvGrpSpPr>
        <xdr:cNvPr id="44" name="Group 43"/>
        <xdr:cNvGrpSpPr/>
      </xdr:nvGrpSpPr>
      <xdr:grpSpPr>
        <a:xfrm>
          <a:off x="16569008" y="3908418"/>
          <a:ext cx="8148723" cy="2435572"/>
          <a:chOff x="16856986" y="4846630"/>
          <a:chExt cx="7958376" cy="2435572"/>
        </a:xfrm>
      </xdr:grpSpPr>
      <xdr:sp macro="" textlink="">
        <xdr:nvSpPr>
          <xdr:cNvPr id="24" name="Rectangle 23"/>
          <xdr:cNvSpPr/>
        </xdr:nvSpPr>
        <xdr:spPr>
          <a:xfrm rot="19382786">
            <a:off x="16856986" y="5286667"/>
            <a:ext cx="890052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Morocco</a:t>
            </a:r>
          </a:p>
        </xdr:txBody>
      </xdr:sp>
      <xdr:sp macro="" textlink="">
        <xdr:nvSpPr>
          <xdr:cNvPr id="25" name="Rectangle 24"/>
          <xdr:cNvSpPr/>
        </xdr:nvSpPr>
        <xdr:spPr>
          <a:xfrm>
            <a:off x="17577345" y="5627185"/>
            <a:ext cx="754567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Algeria</a:t>
            </a:r>
          </a:p>
        </xdr:txBody>
      </xdr:sp>
      <xdr:sp macro="" textlink="">
        <xdr:nvSpPr>
          <xdr:cNvPr id="26" name="Rectangle 25"/>
          <xdr:cNvSpPr/>
        </xdr:nvSpPr>
        <xdr:spPr>
          <a:xfrm>
            <a:off x="18527314" y="4912810"/>
            <a:ext cx="759632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Tunisia</a:t>
            </a:r>
          </a:p>
        </xdr:txBody>
      </xdr:sp>
      <xdr:sp macro="" textlink="">
        <xdr:nvSpPr>
          <xdr:cNvPr id="27" name="Rectangle 26"/>
          <xdr:cNvSpPr/>
        </xdr:nvSpPr>
        <xdr:spPr>
          <a:xfrm>
            <a:off x="19178435" y="5713405"/>
            <a:ext cx="60676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Libya</a:t>
            </a:r>
          </a:p>
        </xdr:txBody>
      </xdr:sp>
      <xdr:sp macro="" textlink="">
        <xdr:nvSpPr>
          <xdr:cNvPr id="28" name="Rectangle 27"/>
          <xdr:cNvSpPr/>
        </xdr:nvSpPr>
        <xdr:spPr>
          <a:xfrm>
            <a:off x="20451366" y="5856280"/>
            <a:ext cx="633122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Egypt</a:t>
            </a:r>
          </a:p>
        </xdr:txBody>
      </xdr:sp>
      <xdr:sp macro="" textlink="">
        <xdr:nvSpPr>
          <xdr:cNvPr id="29" name="Rectangle 28"/>
          <xdr:cNvSpPr/>
        </xdr:nvSpPr>
        <xdr:spPr>
          <a:xfrm>
            <a:off x="21038349" y="4846630"/>
            <a:ext cx="583108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Syria</a:t>
            </a:r>
          </a:p>
        </xdr:txBody>
      </xdr:sp>
      <xdr:sp macro="" textlink="">
        <xdr:nvSpPr>
          <xdr:cNvPr id="30" name="Rectangle 29"/>
          <xdr:cNvSpPr/>
        </xdr:nvSpPr>
        <xdr:spPr>
          <a:xfrm>
            <a:off x="20677564" y="5237154"/>
            <a:ext cx="732125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Jordon</a:t>
            </a:r>
          </a:p>
        </xdr:txBody>
      </xdr:sp>
      <xdr:sp macro="" textlink="">
        <xdr:nvSpPr>
          <xdr:cNvPr id="31" name="Rectangle 30"/>
          <xdr:cNvSpPr/>
        </xdr:nvSpPr>
        <xdr:spPr>
          <a:xfrm>
            <a:off x="20455114" y="5018080"/>
            <a:ext cx="870111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Lebanon</a:t>
            </a:r>
          </a:p>
        </xdr:txBody>
      </xdr:sp>
      <xdr:sp macro="" textlink="">
        <xdr:nvSpPr>
          <xdr:cNvPr id="32" name="Rectangle 31"/>
          <xdr:cNvSpPr/>
        </xdr:nvSpPr>
        <xdr:spPr>
          <a:xfrm>
            <a:off x="21659624" y="5970580"/>
            <a:ext cx="1202830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Saudi Arabia</a:t>
            </a:r>
          </a:p>
        </xdr:txBody>
      </xdr:sp>
      <xdr:sp macro="" textlink="">
        <xdr:nvSpPr>
          <xdr:cNvPr id="33" name="Rectangle 32"/>
          <xdr:cNvSpPr/>
        </xdr:nvSpPr>
        <xdr:spPr>
          <a:xfrm>
            <a:off x="21638869" y="5151430"/>
            <a:ext cx="5069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Iraq</a:t>
            </a:r>
          </a:p>
        </xdr:txBody>
      </xdr:sp>
      <xdr:sp macro="" textlink="">
        <xdr:nvSpPr>
          <xdr:cNvPr id="34" name="Rectangle 33"/>
          <xdr:cNvSpPr/>
        </xdr:nvSpPr>
        <xdr:spPr>
          <a:xfrm>
            <a:off x="22600897" y="4960930"/>
            <a:ext cx="5069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Iran</a:t>
            </a:r>
          </a:p>
        </xdr:txBody>
      </xdr:sp>
      <xdr:sp macro="" textlink="">
        <xdr:nvSpPr>
          <xdr:cNvPr id="35" name="Rectangle 34"/>
          <xdr:cNvSpPr/>
        </xdr:nvSpPr>
        <xdr:spPr>
          <a:xfrm>
            <a:off x="23400508" y="4941880"/>
            <a:ext cx="1022268" cy="28020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2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Afghanistan</a:t>
            </a:r>
          </a:p>
        </xdr:txBody>
      </xdr:sp>
      <xdr:sp macro="" textlink="">
        <xdr:nvSpPr>
          <xdr:cNvPr id="36" name="Rectangle 35"/>
          <xdr:cNvSpPr/>
        </xdr:nvSpPr>
        <xdr:spPr>
          <a:xfrm rot="19638315">
            <a:off x="24036623" y="5427655"/>
            <a:ext cx="778739" cy="280205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2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Pakistan</a:t>
            </a:r>
          </a:p>
        </xdr:txBody>
      </xdr:sp>
      <xdr:sp macro="" textlink="">
        <xdr:nvSpPr>
          <xdr:cNvPr id="37" name="Rectangle 36"/>
          <xdr:cNvSpPr/>
        </xdr:nvSpPr>
        <xdr:spPr>
          <a:xfrm rot="18949258">
            <a:off x="23380826" y="6515887"/>
            <a:ext cx="662810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Oman</a:t>
            </a:r>
          </a:p>
        </xdr:txBody>
      </xdr:sp>
      <xdr:sp macro="" textlink="">
        <xdr:nvSpPr>
          <xdr:cNvPr id="38" name="Rectangle 37"/>
          <xdr:cNvSpPr/>
        </xdr:nvSpPr>
        <xdr:spPr>
          <a:xfrm rot="20150530">
            <a:off x="22517531" y="6970706"/>
            <a:ext cx="73327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Yemen</a:t>
            </a:r>
          </a:p>
        </xdr:txBody>
      </xdr:sp>
      <xdr:sp macro="" textlink="">
        <xdr:nvSpPr>
          <xdr:cNvPr id="39" name="Rectangle 38"/>
          <xdr:cNvSpPr/>
        </xdr:nvSpPr>
        <xdr:spPr>
          <a:xfrm>
            <a:off x="23053834" y="6134886"/>
            <a:ext cx="51751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UAE</a:t>
            </a:r>
          </a:p>
        </xdr:txBody>
      </xdr:sp>
      <xdr:sp macro="" textlink="">
        <xdr:nvSpPr>
          <xdr:cNvPr id="40" name="Rectangle 39"/>
          <xdr:cNvSpPr/>
        </xdr:nvSpPr>
        <xdr:spPr>
          <a:xfrm>
            <a:off x="22780420" y="5827705"/>
            <a:ext cx="643189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Qatar</a:t>
            </a:r>
          </a:p>
        </xdr:txBody>
      </xdr:sp>
      <xdr:sp macro="" textlink="">
        <xdr:nvSpPr>
          <xdr:cNvPr id="41" name="Rectangle 40"/>
          <xdr:cNvSpPr/>
        </xdr:nvSpPr>
        <xdr:spPr>
          <a:xfrm>
            <a:off x="22529654" y="5501474"/>
            <a:ext cx="746423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r>
              <a:rPr lang="en-US" sz="1400" b="1" cap="none" spc="50">
                <a:ln w="9525" cmpd="sng">
                  <a:solidFill>
                    <a:schemeClr val="accent1"/>
                  </a:solidFill>
                  <a:prstDash val="solid"/>
                </a:ln>
                <a:solidFill>
                  <a:srgbClr val="70AD47">
                    <a:tint val="1000"/>
                  </a:srgbClr>
                </a:solidFill>
                <a:effectLst>
                  <a:glow rad="38100">
                    <a:schemeClr val="accent1">
                      <a:alpha val="40000"/>
                    </a:schemeClr>
                  </a:glow>
                </a:effectLst>
              </a:rPr>
              <a:t>Kuwait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19050</xdr:colOff>
          <xdr:row>11</xdr:row>
          <xdr:rowOff>0</xdr:rowOff>
        </xdr:from>
        <xdr:to>
          <xdr:col>37</xdr:col>
          <xdr:colOff>9525</xdr:colOff>
          <xdr:row>12</xdr:row>
          <xdr:rowOff>171450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AT&amp;T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600075</xdr:colOff>
          <xdr:row>11</xdr:row>
          <xdr:rowOff>9525</xdr:rowOff>
        </xdr:from>
        <xdr:to>
          <xdr:col>33</xdr:col>
          <xdr:colOff>590550</xdr:colOff>
          <xdr:row>12</xdr:row>
          <xdr:rowOff>180975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T-Mobile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47625</xdr:colOff>
          <xdr:row>11</xdr:row>
          <xdr:rowOff>47625</xdr:rowOff>
        </xdr:from>
        <xdr:to>
          <xdr:col>40</xdr:col>
          <xdr:colOff>247650</xdr:colOff>
          <xdr:row>13</xdr:row>
          <xdr:rowOff>28575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Data Sheet</a:t>
              </a:r>
            </a:p>
          </xdr:txBody>
        </xdr:sp>
        <xdr:clientData fPrintsWithSheet="0"/>
      </xdr:twoCellAnchor>
    </mc:Choice>
    <mc:Fallback/>
  </mc:AlternateContent>
  <xdr:twoCellAnchor>
    <xdr:from>
      <xdr:col>37</xdr:col>
      <xdr:colOff>0</xdr:colOff>
      <xdr:row>25</xdr:row>
      <xdr:rowOff>107157</xdr:rowOff>
    </xdr:from>
    <xdr:to>
      <xdr:col>37</xdr:col>
      <xdr:colOff>71437</xdr:colOff>
      <xdr:row>26</xdr:row>
      <xdr:rowOff>35719</xdr:rowOff>
    </xdr:to>
    <xdr:grpSp>
      <xdr:nvGrpSpPr>
        <xdr:cNvPr id="47" name="Group 46"/>
        <xdr:cNvGrpSpPr/>
      </xdr:nvGrpSpPr>
      <xdr:grpSpPr>
        <a:xfrm>
          <a:off x="22783800" y="4888707"/>
          <a:ext cx="71437" cy="119062"/>
          <a:chOff x="2743200" y="790575"/>
          <a:chExt cx="1219200" cy="3114675"/>
        </a:xfrm>
        <a:solidFill>
          <a:srgbClr val="FF0000"/>
        </a:solidFill>
      </xdr:grpSpPr>
      <xdr:sp macro="" textlink="">
        <xdr:nvSpPr>
          <xdr:cNvPr id="48" name="Freeform 47"/>
          <xdr:cNvSpPr/>
        </xdr:nvSpPr>
        <xdr:spPr>
          <a:xfrm>
            <a:off x="3333750" y="790575"/>
            <a:ext cx="628650" cy="2895600"/>
          </a:xfrm>
          <a:custGeom>
            <a:avLst/>
            <a:gdLst>
              <a:gd name="connsiteX0" fmla="*/ 0 w 628650"/>
              <a:gd name="connsiteY0" fmla="*/ 123825 h 2895600"/>
              <a:gd name="connsiteX1" fmla="*/ 190500 w 628650"/>
              <a:gd name="connsiteY1" fmla="*/ 95250 h 2895600"/>
              <a:gd name="connsiteX2" fmla="*/ 209550 w 628650"/>
              <a:gd name="connsiteY2" fmla="*/ 66675 h 2895600"/>
              <a:gd name="connsiteX3" fmla="*/ 238125 w 628650"/>
              <a:gd name="connsiteY3" fmla="*/ 57150 h 2895600"/>
              <a:gd name="connsiteX4" fmla="*/ 295275 w 628650"/>
              <a:gd name="connsiteY4" fmla="*/ 19050 h 2895600"/>
              <a:gd name="connsiteX5" fmla="*/ 323850 w 628650"/>
              <a:gd name="connsiteY5" fmla="*/ 0 h 2895600"/>
              <a:gd name="connsiteX6" fmla="*/ 390525 w 628650"/>
              <a:gd name="connsiteY6" fmla="*/ 66675 h 2895600"/>
              <a:gd name="connsiteX7" fmla="*/ 400050 w 628650"/>
              <a:gd name="connsiteY7" fmla="*/ 95250 h 2895600"/>
              <a:gd name="connsiteX8" fmla="*/ 409575 w 628650"/>
              <a:gd name="connsiteY8" fmla="*/ 123825 h 2895600"/>
              <a:gd name="connsiteX9" fmla="*/ 390525 w 628650"/>
              <a:gd name="connsiteY9" fmla="*/ 152400 h 2895600"/>
              <a:gd name="connsiteX10" fmla="*/ 400050 w 628650"/>
              <a:gd name="connsiteY10" fmla="*/ 180975 h 2895600"/>
              <a:gd name="connsiteX11" fmla="*/ 457200 w 628650"/>
              <a:gd name="connsiteY11" fmla="*/ 200025 h 2895600"/>
              <a:gd name="connsiteX12" fmla="*/ 514350 w 628650"/>
              <a:gd name="connsiteY12" fmla="*/ 228600 h 2895600"/>
              <a:gd name="connsiteX13" fmla="*/ 476250 w 628650"/>
              <a:gd name="connsiteY13" fmla="*/ 295275 h 2895600"/>
              <a:gd name="connsiteX14" fmla="*/ 419100 w 628650"/>
              <a:gd name="connsiteY14" fmla="*/ 314325 h 2895600"/>
              <a:gd name="connsiteX15" fmla="*/ 390525 w 628650"/>
              <a:gd name="connsiteY15" fmla="*/ 323850 h 2895600"/>
              <a:gd name="connsiteX16" fmla="*/ 352425 w 628650"/>
              <a:gd name="connsiteY16" fmla="*/ 314325 h 2895600"/>
              <a:gd name="connsiteX17" fmla="*/ 323850 w 628650"/>
              <a:gd name="connsiteY17" fmla="*/ 304800 h 2895600"/>
              <a:gd name="connsiteX18" fmla="*/ 228600 w 628650"/>
              <a:gd name="connsiteY18" fmla="*/ 295275 h 2895600"/>
              <a:gd name="connsiteX19" fmla="*/ 152400 w 628650"/>
              <a:gd name="connsiteY19" fmla="*/ 304800 h 2895600"/>
              <a:gd name="connsiteX20" fmla="*/ 142875 w 628650"/>
              <a:gd name="connsiteY20" fmla="*/ 333375 h 2895600"/>
              <a:gd name="connsiteX21" fmla="*/ 171450 w 628650"/>
              <a:gd name="connsiteY21" fmla="*/ 390525 h 2895600"/>
              <a:gd name="connsiteX22" fmla="*/ 190500 w 628650"/>
              <a:gd name="connsiteY22" fmla="*/ 457200 h 2895600"/>
              <a:gd name="connsiteX23" fmla="*/ 219075 w 628650"/>
              <a:gd name="connsiteY23" fmla="*/ 485775 h 2895600"/>
              <a:gd name="connsiteX24" fmla="*/ 266700 w 628650"/>
              <a:gd name="connsiteY24" fmla="*/ 533400 h 2895600"/>
              <a:gd name="connsiteX25" fmla="*/ 285750 w 628650"/>
              <a:gd name="connsiteY25" fmla="*/ 561975 h 2895600"/>
              <a:gd name="connsiteX26" fmla="*/ 314325 w 628650"/>
              <a:gd name="connsiteY26" fmla="*/ 571500 h 2895600"/>
              <a:gd name="connsiteX27" fmla="*/ 352425 w 628650"/>
              <a:gd name="connsiteY27" fmla="*/ 609600 h 2895600"/>
              <a:gd name="connsiteX28" fmla="*/ 361950 w 628650"/>
              <a:gd name="connsiteY28" fmla="*/ 638175 h 2895600"/>
              <a:gd name="connsiteX29" fmla="*/ 361950 w 628650"/>
              <a:gd name="connsiteY29" fmla="*/ 695325 h 2895600"/>
              <a:gd name="connsiteX30" fmla="*/ 390525 w 628650"/>
              <a:gd name="connsiteY30" fmla="*/ 714375 h 2895600"/>
              <a:gd name="connsiteX31" fmla="*/ 409575 w 628650"/>
              <a:gd name="connsiteY31" fmla="*/ 685800 h 2895600"/>
              <a:gd name="connsiteX32" fmla="*/ 514350 w 628650"/>
              <a:gd name="connsiteY32" fmla="*/ 704850 h 2895600"/>
              <a:gd name="connsiteX33" fmla="*/ 523875 w 628650"/>
              <a:gd name="connsiteY33" fmla="*/ 771525 h 2895600"/>
              <a:gd name="connsiteX34" fmla="*/ 561975 w 628650"/>
              <a:gd name="connsiteY34" fmla="*/ 828675 h 2895600"/>
              <a:gd name="connsiteX35" fmla="*/ 581025 w 628650"/>
              <a:gd name="connsiteY35" fmla="*/ 857250 h 2895600"/>
              <a:gd name="connsiteX36" fmla="*/ 590550 w 628650"/>
              <a:gd name="connsiteY36" fmla="*/ 885825 h 2895600"/>
              <a:gd name="connsiteX37" fmla="*/ 609600 w 628650"/>
              <a:gd name="connsiteY37" fmla="*/ 952500 h 2895600"/>
              <a:gd name="connsiteX38" fmla="*/ 581025 w 628650"/>
              <a:gd name="connsiteY38" fmla="*/ 962025 h 2895600"/>
              <a:gd name="connsiteX39" fmla="*/ 542925 w 628650"/>
              <a:gd name="connsiteY39" fmla="*/ 1047750 h 2895600"/>
              <a:gd name="connsiteX40" fmla="*/ 523875 w 628650"/>
              <a:gd name="connsiteY40" fmla="*/ 1114425 h 2895600"/>
              <a:gd name="connsiteX41" fmla="*/ 504825 w 628650"/>
              <a:gd name="connsiteY41" fmla="*/ 1143000 h 2895600"/>
              <a:gd name="connsiteX42" fmla="*/ 523875 w 628650"/>
              <a:gd name="connsiteY42" fmla="*/ 1171575 h 2895600"/>
              <a:gd name="connsiteX43" fmla="*/ 552450 w 628650"/>
              <a:gd name="connsiteY43" fmla="*/ 1190625 h 2895600"/>
              <a:gd name="connsiteX44" fmla="*/ 561975 w 628650"/>
              <a:gd name="connsiteY44" fmla="*/ 1219200 h 2895600"/>
              <a:gd name="connsiteX45" fmla="*/ 533400 w 628650"/>
              <a:gd name="connsiteY45" fmla="*/ 1276350 h 2895600"/>
              <a:gd name="connsiteX46" fmla="*/ 552450 w 628650"/>
              <a:gd name="connsiteY46" fmla="*/ 1333500 h 2895600"/>
              <a:gd name="connsiteX47" fmla="*/ 600075 w 628650"/>
              <a:gd name="connsiteY47" fmla="*/ 1419225 h 2895600"/>
              <a:gd name="connsiteX48" fmla="*/ 628650 w 628650"/>
              <a:gd name="connsiteY48" fmla="*/ 1428750 h 2895600"/>
              <a:gd name="connsiteX49" fmla="*/ 600075 w 628650"/>
              <a:gd name="connsiteY49" fmla="*/ 1447800 h 2895600"/>
              <a:gd name="connsiteX50" fmla="*/ 571500 w 628650"/>
              <a:gd name="connsiteY50" fmla="*/ 1457325 h 2895600"/>
              <a:gd name="connsiteX51" fmla="*/ 561975 w 628650"/>
              <a:gd name="connsiteY51" fmla="*/ 1562100 h 2895600"/>
              <a:gd name="connsiteX52" fmla="*/ 542925 w 628650"/>
              <a:gd name="connsiteY52" fmla="*/ 1638300 h 2895600"/>
              <a:gd name="connsiteX53" fmla="*/ 523875 w 628650"/>
              <a:gd name="connsiteY53" fmla="*/ 1695450 h 2895600"/>
              <a:gd name="connsiteX54" fmla="*/ 514350 w 628650"/>
              <a:gd name="connsiteY54" fmla="*/ 1724025 h 2895600"/>
              <a:gd name="connsiteX55" fmla="*/ 504825 w 628650"/>
              <a:gd name="connsiteY55" fmla="*/ 1990725 h 2895600"/>
              <a:gd name="connsiteX56" fmla="*/ 485775 w 628650"/>
              <a:gd name="connsiteY56" fmla="*/ 2019300 h 2895600"/>
              <a:gd name="connsiteX57" fmla="*/ 466725 w 628650"/>
              <a:gd name="connsiteY57" fmla="*/ 2076450 h 2895600"/>
              <a:gd name="connsiteX58" fmla="*/ 457200 w 628650"/>
              <a:gd name="connsiteY58" fmla="*/ 2257425 h 2895600"/>
              <a:gd name="connsiteX59" fmla="*/ 438150 w 628650"/>
              <a:gd name="connsiteY59" fmla="*/ 2676525 h 2895600"/>
              <a:gd name="connsiteX60" fmla="*/ 419100 w 628650"/>
              <a:gd name="connsiteY60" fmla="*/ 2771775 h 2895600"/>
              <a:gd name="connsiteX61" fmla="*/ 409575 w 628650"/>
              <a:gd name="connsiteY61" fmla="*/ 2819400 h 2895600"/>
              <a:gd name="connsiteX62" fmla="*/ 361950 w 628650"/>
              <a:gd name="connsiteY62" fmla="*/ 2876550 h 2895600"/>
              <a:gd name="connsiteX63" fmla="*/ 361950 w 628650"/>
              <a:gd name="connsiteY63" fmla="*/ 2895600 h 28956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</a:cxnLst>
            <a:rect l="l" t="t" r="r" b="b"/>
            <a:pathLst>
              <a:path w="628650" h="2895600">
                <a:moveTo>
                  <a:pt x="0" y="123825"/>
                </a:moveTo>
                <a:cubicBezTo>
                  <a:pt x="50300" y="120866"/>
                  <a:pt x="142991" y="142759"/>
                  <a:pt x="190500" y="95250"/>
                </a:cubicBezTo>
                <a:cubicBezTo>
                  <a:pt x="198595" y="87155"/>
                  <a:pt x="200611" y="73826"/>
                  <a:pt x="209550" y="66675"/>
                </a:cubicBezTo>
                <a:cubicBezTo>
                  <a:pt x="217390" y="60403"/>
                  <a:pt x="229348" y="62026"/>
                  <a:pt x="238125" y="57150"/>
                </a:cubicBezTo>
                <a:cubicBezTo>
                  <a:pt x="258139" y="46031"/>
                  <a:pt x="276225" y="31750"/>
                  <a:pt x="295275" y="19050"/>
                </a:cubicBezTo>
                <a:lnTo>
                  <a:pt x="323850" y="0"/>
                </a:lnTo>
                <a:cubicBezTo>
                  <a:pt x="391166" y="13463"/>
                  <a:pt x="366355" y="-5834"/>
                  <a:pt x="390525" y="66675"/>
                </a:cubicBezTo>
                <a:lnTo>
                  <a:pt x="400050" y="95250"/>
                </a:lnTo>
                <a:lnTo>
                  <a:pt x="409575" y="123825"/>
                </a:lnTo>
                <a:cubicBezTo>
                  <a:pt x="403225" y="133350"/>
                  <a:pt x="392407" y="141108"/>
                  <a:pt x="390525" y="152400"/>
                </a:cubicBezTo>
                <a:cubicBezTo>
                  <a:pt x="388874" y="162304"/>
                  <a:pt x="391880" y="175139"/>
                  <a:pt x="400050" y="180975"/>
                </a:cubicBezTo>
                <a:cubicBezTo>
                  <a:pt x="416390" y="192647"/>
                  <a:pt x="438150" y="193675"/>
                  <a:pt x="457200" y="200025"/>
                </a:cubicBezTo>
                <a:cubicBezTo>
                  <a:pt x="496635" y="213170"/>
                  <a:pt x="477421" y="203981"/>
                  <a:pt x="514350" y="228600"/>
                </a:cubicBezTo>
                <a:cubicBezTo>
                  <a:pt x="540039" y="267133"/>
                  <a:pt x="555048" y="269009"/>
                  <a:pt x="476250" y="295275"/>
                </a:cubicBezTo>
                <a:lnTo>
                  <a:pt x="419100" y="314325"/>
                </a:lnTo>
                <a:lnTo>
                  <a:pt x="390525" y="323850"/>
                </a:lnTo>
                <a:cubicBezTo>
                  <a:pt x="377825" y="320675"/>
                  <a:pt x="365012" y="317921"/>
                  <a:pt x="352425" y="314325"/>
                </a:cubicBezTo>
                <a:cubicBezTo>
                  <a:pt x="342771" y="311567"/>
                  <a:pt x="333773" y="306327"/>
                  <a:pt x="323850" y="304800"/>
                </a:cubicBezTo>
                <a:cubicBezTo>
                  <a:pt x="292313" y="299948"/>
                  <a:pt x="260350" y="298450"/>
                  <a:pt x="228600" y="295275"/>
                </a:cubicBezTo>
                <a:cubicBezTo>
                  <a:pt x="203200" y="298450"/>
                  <a:pt x="175791" y="294404"/>
                  <a:pt x="152400" y="304800"/>
                </a:cubicBezTo>
                <a:cubicBezTo>
                  <a:pt x="143225" y="308878"/>
                  <a:pt x="142875" y="323335"/>
                  <a:pt x="142875" y="333375"/>
                </a:cubicBezTo>
                <a:cubicBezTo>
                  <a:pt x="142875" y="353093"/>
                  <a:pt x="161818" y="376078"/>
                  <a:pt x="171450" y="390525"/>
                </a:cubicBezTo>
                <a:cubicBezTo>
                  <a:pt x="172720" y="395606"/>
                  <a:pt x="185034" y="449001"/>
                  <a:pt x="190500" y="457200"/>
                </a:cubicBezTo>
                <a:cubicBezTo>
                  <a:pt x="197972" y="468408"/>
                  <a:pt x="210451" y="475427"/>
                  <a:pt x="219075" y="485775"/>
                </a:cubicBezTo>
                <a:cubicBezTo>
                  <a:pt x="258762" y="533400"/>
                  <a:pt x="214313" y="498475"/>
                  <a:pt x="266700" y="533400"/>
                </a:cubicBezTo>
                <a:cubicBezTo>
                  <a:pt x="273050" y="542925"/>
                  <a:pt x="276811" y="554824"/>
                  <a:pt x="285750" y="561975"/>
                </a:cubicBezTo>
                <a:cubicBezTo>
                  <a:pt x="293590" y="568247"/>
                  <a:pt x="307225" y="564400"/>
                  <a:pt x="314325" y="571500"/>
                </a:cubicBezTo>
                <a:cubicBezTo>
                  <a:pt x="365125" y="622300"/>
                  <a:pt x="276225" y="584200"/>
                  <a:pt x="352425" y="609600"/>
                </a:cubicBezTo>
                <a:cubicBezTo>
                  <a:pt x="355600" y="619125"/>
                  <a:pt x="361950" y="628135"/>
                  <a:pt x="361950" y="638175"/>
                </a:cubicBezTo>
                <a:lnTo>
                  <a:pt x="361950" y="695325"/>
                </a:lnTo>
                <a:cubicBezTo>
                  <a:pt x="369101" y="704264"/>
                  <a:pt x="381000" y="708025"/>
                  <a:pt x="390525" y="714375"/>
                </a:cubicBezTo>
                <a:cubicBezTo>
                  <a:pt x="396875" y="704850"/>
                  <a:pt x="398350" y="688045"/>
                  <a:pt x="409575" y="685800"/>
                </a:cubicBezTo>
                <a:cubicBezTo>
                  <a:pt x="443232" y="679069"/>
                  <a:pt x="482085" y="694095"/>
                  <a:pt x="514350" y="704850"/>
                </a:cubicBezTo>
                <a:cubicBezTo>
                  <a:pt x="517525" y="727075"/>
                  <a:pt x="515816" y="750571"/>
                  <a:pt x="523875" y="771525"/>
                </a:cubicBezTo>
                <a:cubicBezTo>
                  <a:pt x="532094" y="792894"/>
                  <a:pt x="549275" y="809625"/>
                  <a:pt x="561975" y="828675"/>
                </a:cubicBezTo>
                <a:cubicBezTo>
                  <a:pt x="568325" y="838200"/>
                  <a:pt x="577405" y="846390"/>
                  <a:pt x="581025" y="857250"/>
                </a:cubicBezTo>
                <a:cubicBezTo>
                  <a:pt x="584200" y="866775"/>
                  <a:pt x="587792" y="876171"/>
                  <a:pt x="590550" y="885825"/>
                </a:cubicBezTo>
                <a:cubicBezTo>
                  <a:pt x="614470" y="969546"/>
                  <a:pt x="586762" y="883987"/>
                  <a:pt x="609600" y="952500"/>
                </a:cubicBezTo>
                <a:cubicBezTo>
                  <a:pt x="600075" y="955675"/>
                  <a:pt x="588865" y="955753"/>
                  <a:pt x="581025" y="962025"/>
                </a:cubicBezTo>
                <a:cubicBezTo>
                  <a:pt x="561479" y="977662"/>
                  <a:pt x="546927" y="1031742"/>
                  <a:pt x="542925" y="1047750"/>
                </a:cubicBezTo>
                <a:cubicBezTo>
                  <a:pt x="539873" y="1059957"/>
                  <a:pt x="530707" y="1100760"/>
                  <a:pt x="523875" y="1114425"/>
                </a:cubicBezTo>
                <a:cubicBezTo>
                  <a:pt x="518755" y="1124664"/>
                  <a:pt x="511175" y="1133475"/>
                  <a:pt x="504825" y="1143000"/>
                </a:cubicBezTo>
                <a:cubicBezTo>
                  <a:pt x="511175" y="1152525"/>
                  <a:pt x="515780" y="1163480"/>
                  <a:pt x="523875" y="1171575"/>
                </a:cubicBezTo>
                <a:cubicBezTo>
                  <a:pt x="531970" y="1179670"/>
                  <a:pt x="545299" y="1181686"/>
                  <a:pt x="552450" y="1190625"/>
                </a:cubicBezTo>
                <a:cubicBezTo>
                  <a:pt x="558722" y="1198465"/>
                  <a:pt x="558800" y="1209675"/>
                  <a:pt x="561975" y="1219200"/>
                </a:cubicBezTo>
                <a:cubicBezTo>
                  <a:pt x="554484" y="1230436"/>
                  <a:pt x="531522" y="1259449"/>
                  <a:pt x="533400" y="1276350"/>
                </a:cubicBezTo>
                <a:cubicBezTo>
                  <a:pt x="535618" y="1296308"/>
                  <a:pt x="546100" y="1314450"/>
                  <a:pt x="552450" y="1333500"/>
                </a:cubicBezTo>
                <a:cubicBezTo>
                  <a:pt x="560837" y="1358661"/>
                  <a:pt x="575511" y="1411037"/>
                  <a:pt x="600075" y="1419225"/>
                </a:cubicBezTo>
                <a:lnTo>
                  <a:pt x="628650" y="1428750"/>
                </a:lnTo>
                <a:cubicBezTo>
                  <a:pt x="619125" y="1435100"/>
                  <a:pt x="610314" y="1442680"/>
                  <a:pt x="600075" y="1447800"/>
                </a:cubicBezTo>
                <a:cubicBezTo>
                  <a:pt x="591095" y="1452290"/>
                  <a:pt x="574675" y="1447800"/>
                  <a:pt x="571500" y="1457325"/>
                </a:cubicBezTo>
                <a:cubicBezTo>
                  <a:pt x="560410" y="1490594"/>
                  <a:pt x="567444" y="1527460"/>
                  <a:pt x="561975" y="1562100"/>
                </a:cubicBezTo>
                <a:cubicBezTo>
                  <a:pt x="557892" y="1587961"/>
                  <a:pt x="551204" y="1613462"/>
                  <a:pt x="542925" y="1638300"/>
                </a:cubicBezTo>
                <a:lnTo>
                  <a:pt x="523875" y="1695450"/>
                </a:lnTo>
                <a:lnTo>
                  <a:pt x="514350" y="1724025"/>
                </a:lnTo>
                <a:cubicBezTo>
                  <a:pt x="511175" y="1812925"/>
                  <a:pt x="513394" y="1902182"/>
                  <a:pt x="504825" y="1990725"/>
                </a:cubicBezTo>
                <a:cubicBezTo>
                  <a:pt x="503722" y="2002119"/>
                  <a:pt x="490424" y="2008839"/>
                  <a:pt x="485775" y="2019300"/>
                </a:cubicBezTo>
                <a:cubicBezTo>
                  <a:pt x="477620" y="2037650"/>
                  <a:pt x="466725" y="2076450"/>
                  <a:pt x="466725" y="2076450"/>
                </a:cubicBezTo>
                <a:cubicBezTo>
                  <a:pt x="463550" y="2136775"/>
                  <a:pt x="459614" y="2197065"/>
                  <a:pt x="457200" y="2257425"/>
                </a:cubicBezTo>
                <a:cubicBezTo>
                  <a:pt x="450121" y="2434389"/>
                  <a:pt x="453638" y="2521642"/>
                  <a:pt x="438150" y="2676525"/>
                </a:cubicBezTo>
                <a:cubicBezTo>
                  <a:pt x="426482" y="2793205"/>
                  <a:pt x="436048" y="2703983"/>
                  <a:pt x="419100" y="2771775"/>
                </a:cubicBezTo>
                <a:cubicBezTo>
                  <a:pt x="415173" y="2787481"/>
                  <a:pt x="415259" y="2804241"/>
                  <a:pt x="409575" y="2819400"/>
                </a:cubicBezTo>
                <a:cubicBezTo>
                  <a:pt x="393220" y="2863014"/>
                  <a:pt x="386656" y="2835373"/>
                  <a:pt x="361950" y="2876550"/>
                </a:cubicBezTo>
                <a:cubicBezTo>
                  <a:pt x="358683" y="2881995"/>
                  <a:pt x="361950" y="2889250"/>
                  <a:pt x="361950" y="2895600"/>
                </a:cubicBezTo>
              </a:path>
            </a:pathLst>
          </a:cu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9" name="Freeform 48"/>
          <xdr:cNvSpPr/>
        </xdr:nvSpPr>
        <xdr:spPr>
          <a:xfrm>
            <a:off x="2743200" y="847725"/>
            <a:ext cx="1038250" cy="3057525"/>
          </a:xfrm>
          <a:custGeom>
            <a:avLst/>
            <a:gdLst>
              <a:gd name="connsiteX0" fmla="*/ 609600 w 1038250"/>
              <a:gd name="connsiteY0" fmla="*/ 57150 h 3057525"/>
              <a:gd name="connsiteX1" fmla="*/ 561975 w 1038250"/>
              <a:gd name="connsiteY1" fmla="*/ 9525 h 3057525"/>
              <a:gd name="connsiteX2" fmla="*/ 533400 w 1038250"/>
              <a:gd name="connsiteY2" fmla="*/ 0 h 3057525"/>
              <a:gd name="connsiteX3" fmla="*/ 133350 w 1038250"/>
              <a:gd name="connsiteY3" fmla="*/ 9525 h 3057525"/>
              <a:gd name="connsiteX4" fmla="*/ 85725 w 1038250"/>
              <a:gd name="connsiteY4" fmla="*/ 66675 h 3057525"/>
              <a:gd name="connsiteX5" fmla="*/ 28575 w 1038250"/>
              <a:gd name="connsiteY5" fmla="*/ 104775 h 3057525"/>
              <a:gd name="connsiteX6" fmla="*/ 9525 w 1038250"/>
              <a:gd name="connsiteY6" fmla="*/ 161925 h 3057525"/>
              <a:gd name="connsiteX7" fmla="*/ 19050 w 1038250"/>
              <a:gd name="connsiteY7" fmla="*/ 209550 h 3057525"/>
              <a:gd name="connsiteX8" fmla="*/ 38100 w 1038250"/>
              <a:gd name="connsiteY8" fmla="*/ 238125 h 3057525"/>
              <a:gd name="connsiteX9" fmla="*/ 47625 w 1038250"/>
              <a:gd name="connsiteY9" fmla="*/ 266700 h 3057525"/>
              <a:gd name="connsiteX10" fmla="*/ 57150 w 1038250"/>
              <a:gd name="connsiteY10" fmla="*/ 333375 h 3057525"/>
              <a:gd name="connsiteX11" fmla="*/ 38100 w 1038250"/>
              <a:gd name="connsiteY11" fmla="*/ 409575 h 3057525"/>
              <a:gd name="connsiteX12" fmla="*/ 19050 w 1038250"/>
              <a:gd name="connsiteY12" fmla="*/ 438150 h 3057525"/>
              <a:gd name="connsiteX13" fmla="*/ 0 w 1038250"/>
              <a:gd name="connsiteY13" fmla="*/ 495300 h 3057525"/>
              <a:gd name="connsiteX14" fmla="*/ 28575 w 1038250"/>
              <a:gd name="connsiteY14" fmla="*/ 628650 h 3057525"/>
              <a:gd name="connsiteX15" fmla="*/ 47625 w 1038250"/>
              <a:gd name="connsiteY15" fmla="*/ 657225 h 3057525"/>
              <a:gd name="connsiteX16" fmla="*/ 47625 w 1038250"/>
              <a:gd name="connsiteY16" fmla="*/ 723900 h 3057525"/>
              <a:gd name="connsiteX17" fmla="*/ 104775 w 1038250"/>
              <a:gd name="connsiteY17" fmla="*/ 742950 h 3057525"/>
              <a:gd name="connsiteX18" fmla="*/ 133350 w 1038250"/>
              <a:gd name="connsiteY18" fmla="*/ 828675 h 3057525"/>
              <a:gd name="connsiteX19" fmla="*/ 142875 w 1038250"/>
              <a:gd name="connsiteY19" fmla="*/ 857250 h 3057525"/>
              <a:gd name="connsiteX20" fmla="*/ 161925 w 1038250"/>
              <a:gd name="connsiteY20" fmla="*/ 885825 h 3057525"/>
              <a:gd name="connsiteX21" fmla="*/ 190500 w 1038250"/>
              <a:gd name="connsiteY21" fmla="*/ 942975 h 3057525"/>
              <a:gd name="connsiteX22" fmla="*/ 219075 w 1038250"/>
              <a:gd name="connsiteY22" fmla="*/ 1038225 h 3057525"/>
              <a:gd name="connsiteX23" fmla="*/ 238125 w 1038250"/>
              <a:gd name="connsiteY23" fmla="*/ 1066800 h 3057525"/>
              <a:gd name="connsiteX24" fmla="*/ 257175 w 1038250"/>
              <a:gd name="connsiteY24" fmla="*/ 1123950 h 3057525"/>
              <a:gd name="connsiteX25" fmla="*/ 247650 w 1038250"/>
              <a:gd name="connsiteY25" fmla="*/ 1381125 h 3057525"/>
              <a:gd name="connsiteX26" fmla="*/ 238125 w 1038250"/>
              <a:gd name="connsiteY26" fmla="*/ 1409700 h 3057525"/>
              <a:gd name="connsiteX27" fmla="*/ 200025 w 1038250"/>
              <a:gd name="connsiteY27" fmla="*/ 1466850 h 3057525"/>
              <a:gd name="connsiteX28" fmla="*/ 152400 w 1038250"/>
              <a:gd name="connsiteY28" fmla="*/ 1514475 h 3057525"/>
              <a:gd name="connsiteX29" fmla="*/ 133350 w 1038250"/>
              <a:gd name="connsiteY29" fmla="*/ 1695450 h 3057525"/>
              <a:gd name="connsiteX30" fmla="*/ 114300 w 1038250"/>
              <a:gd name="connsiteY30" fmla="*/ 1752600 h 3057525"/>
              <a:gd name="connsiteX31" fmla="*/ 85725 w 1038250"/>
              <a:gd name="connsiteY31" fmla="*/ 1809750 h 3057525"/>
              <a:gd name="connsiteX32" fmla="*/ 104775 w 1038250"/>
              <a:gd name="connsiteY32" fmla="*/ 1943100 h 3057525"/>
              <a:gd name="connsiteX33" fmla="*/ 123825 w 1038250"/>
              <a:gd name="connsiteY33" fmla="*/ 1971675 h 3057525"/>
              <a:gd name="connsiteX34" fmla="*/ 142875 w 1038250"/>
              <a:gd name="connsiteY34" fmla="*/ 2028825 h 3057525"/>
              <a:gd name="connsiteX35" fmla="*/ 190500 w 1038250"/>
              <a:gd name="connsiteY35" fmla="*/ 2114550 h 3057525"/>
              <a:gd name="connsiteX36" fmla="*/ 219075 w 1038250"/>
              <a:gd name="connsiteY36" fmla="*/ 2133600 h 3057525"/>
              <a:gd name="connsiteX37" fmla="*/ 314325 w 1038250"/>
              <a:gd name="connsiteY37" fmla="*/ 2247900 h 3057525"/>
              <a:gd name="connsiteX38" fmla="*/ 371475 w 1038250"/>
              <a:gd name="connsiteY38" fmla="*/ 2286000 h 3057525"/>
              <a:gd name="connsiteX39" fmla="*/ 400050 w 1038250"/>
              <a:gd name="connsiteY39" fmla="*/ 2305050 h 3057525"/>
              <a:gd name="connsiteX40" fmla="*/ 466725 w 1038250"/>
              <a:gd name="connsiteY40" fmla="*/ 2371725 h 3057525"/>
              <a:gd name="connsiteX41" fmla="*/ 495300 w 1038250"/>
              <a:gd name="connsiteY41" fmla="*/ 2400300 h 3057525"/>
              <a:gd name="connsiteX42" fmla="*/ 504825 w 1038250"/>
              <a:gd name="connsiteY42" fmla="*/ 2428875 h 3057525"/>
              <a:gd name="connsiteX43" fmla="*/ 523875 w 1038250"/>
              <a:gd name="connsiteY43" fmla="*/ 2457450 h 3057525"/>
              <a:gd name="connsiteX44" fmla="*/ 533400 w 1038250"/>
              <a:gd name="connsiteY44" fmla="*/ 2486025 h 3057525"/>
              <a:gd name="connsiteX45" fmla="*/ 561975 w 1038250"/>
              <a:gd name="connsiteY45" fmla="*/ 2505075 h 3057525"/>
              <a:gd name="connsiteX46" fmla="*/ 590550 w 1038250"/>
              <a:gd name="connsiteY46" fmla="*/ 2562225 h 3057525"/>
              <a:gd name="connsiteX47" fmla="*/ 600075 w 1038250"/>
              <a:gd name="connsiteY47" fmla="*/ 2590800 h 3057525"/>
              <a:gd name="connsiteX48" fmla="*/ 647700 w 1038250"/>
              <a:gd name="connsiteY48" fmla="*/ 2647950 h 3057525"/>
              <a:gd name="connsiteX49" fmla="*/ 657225 w 1038250"/>
              <a:gd name="connsiteY49" fmla="*/ 2676525 h 3057525"/>
              <a:gd name="connsiteX50" fmla="*/ 704850 w 1038250"/>
              <a:gd name="connsiteY50" fmla="*/ 2733675 h 3057525"/>
              <a:gd name="connsiteX51" fmla="*/ 723900 w 1038250"/>
              <a:gd name="connsiteY51" fmla="*/ 2914650 h 3057525"/>
              <a:gd name="connsiteX52" fmla="*/ 742950 w 1038250"/>
              <a:gd name="connsiteY52" fmla="*/ 2943225 h 3057525"/>
              <a:gd name="connsiteX53" fmla="*/ 762000 w 1038250"/>
              <a:gd name="connsiteY53" fmla="*/ 3000375 h 3057525"/>
              <a:gd name="connsiteX54" fmla="*/ 790575 w 1038250"/>
              <a:gd name="connsiteY54" fmla="*/ 3057525 h 3057525"/>
              <a:gd name="connsiteX55" fmla="*/ 847725 w 1038250"/>
              <a:gd name="connsiteY55" fmla="*/ 3048000 h 3057525"/>
              <a:gd name="connsiteX56" fmla="*/ 866775 w 1038250"/>
              <a:gd name="connsiteY56" fmla="*/ 2990850 h 3057525"/>
              <a:gd name="connsiteX57" fmla="*/ 876300 w 1038250"/>
              <a:gd name="connsiteY57" fmla="*/ 2962275 h 3057525"/>
              <a:gd name="connsiteX58" fmla="*/ 885825 w 1038250"/>
              <a:gd name="connsiteY58" fmla="*/ 2914650 h 3057525"/>
              <a:gd name="connsiteX59" fmla="*/ 942975 w 1038250"/>
              <a:gd name="connsiteY59" fmla="*/ 2867025 h 3057525"/>
              <a:gd name="connsiteX60" fmla="*/ 990600 w 1038250"/>
              <a:gd name="connsiteY60" fmla="*/ 2809875 h 3057525"/>
              <a:gd name="connsiteX61" fmla="*/ 1019175 w 1038250"/>
              <a:gd name="connsiteY61" fmla="*/ 2790825 h 3057525"/>
              <a:gd name="connsiteX62" fmla="*/ 1028700 w 1038250"/>
              <a:gd name="connsiteY62" fmla="*/ 2733675 h 3057525"/>
              <a:gd name="connsiteX63" fmla="*/ 1038225 w 1038250"/>
              <a:gd name="connsiteY63" fmla="*/ 2695575 h 3057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</a:cxnLst>
            <a:rect l="l" t="t" r="r" b="b"/>
            <a:pathLst>
              <a:path w="1038250" h="3057525">
                <a:moveTo>
                  <a:pt x="609600" y="57150"/>
                </a:moveTo>
                <a:cubicBezTo>
                  <a:pt x="593725" y="41275"/>
                  <a:pt x="579936" y="22995"/>
                  <a:pt x="561975" y="9525"/>
                </a:cubicBezTo>
                <a:cubicBezTo>
                  <a:pt x="553943" y="3501"/>
                  <a:pt x="543440" y="0"/>
                  <a:pt x="533400" y="0"/>
                </a:cubicBezTo>
                <a:cubicBezTo>
                  <a:pt x="400012" y="0"/>
                  <a:pt x="266700" y="6350"/>
                  <a:pt x="133350" y="9525"/>
                </a:cubicBezTo>
                <a:cubicBezTo>
                  <a:pt x="116417" y="34925"/>
                  <a:pt x="111112" y="46930"/>
                  <a:pt x="85725" y="66675"/>
                </a:cubicBezTo>
                <a:cubicBezTo>
                  <a:pt x="67653" y="80731"/>
                  <a:pt x="28575" y="104775"/>
                  <a:pt x="28575" y="104775"/>
                </a:cubicBezTo>
                <a:cubicBezTo>
                  <a:pt x="22225" y="123825"/>
                  <a:pt x="5587" y="142234"/>
                  <a:pt x="9525" y="161925"/>
                </a:cubicBezTo>
                <a:cubicBezTo>
                  <a:pt x="12700" y="177800"/>
                  <a:pt x="13366" y="194391"/>
                  <a:pt x="19050" y="209550"/>
                </a:cubicBezTo>
                <a:cubicBezTo>
                  <a:pt x="23070" y="220269"/>
                  <a:pt x="32980" y="227886"/>
                  <a:pt x="38100" y="238125"/>
                </a:cubicBezTo>
                <a:cubicBezTo>
                  <a:pt x="42590" y="247105"/>
                  <a:pt x="44450" y="257175"/>
                  <a:pt x="47625" y="266700"/>
                </a:cubicBezTo>
                <a:cubicBezTo>
                  <a:pt x="50800" y="288925"/>
                  <a:pt x="57150" y="310924"/>
                  <a:pt x="57150" y="333375"/>
                </a:cubicBezTo>
                <a:cubicBezTo>
                  <a:pt x="57150" y="344244"/>
                  <a:pt x="45616" y="394543"/>
                  <a:pt x="38100" y="409575"/>
                </a:cubicBezTo>
                <a:cubicBezTo>
                  <a:pt x="32980" y="419814"/>
                  <a:pt x="23699" y="427689"/>
                  <a:pt x="19050" y="438150"/>
                </a:cubicBezTo>
                <a:cubicBezTo>
                  <a:pt x="10895" y="456500"/>
                  <a:pt x="0" y="495300"/>
                  <a:pt x="0" y="495300"/>
                </a:cubicBezTo>
                <a:cubicBezTo>
                  <a:pt x="4030" y="527543"/>
                  <a:pt x="7694" y="597329"/>
                  <a:pt x="28575" y="628650"/>
                </a:cubicBezTo>
                <a:lnTo>
                  <a:pt x="47625" y="657225"/>
                </a:lnTo>
                <a:cubicBezTo>
                  <a:pt x="41435" y="675796"/>
                  <a:pt x="25920" y="705295"/>
                  <a:pt x="47625" y="723900"/>
                </a:cubicBezTo>
                <a:cubicBezTo>
                  <a:pt x="62871" y="736968"/>
                  <a:pt x="104775" y="742950"/>
                  <a:pt x="104775" y="742950"/>
                </a:cubicBezTo>
                <a:lnTo>
                  <a:pt x="133350" y="828675"/>
                </a:lnTo>
                <a:cubicBezTo>
                  <a:pt x="136525" y="838200"/>
                  <a:pt x="137306" y="848896"/>
                  <a:pt x="142875" y="857250"/>
                </a:cubicBezTo>
                <a:cubicBezTo>
                  <a:pt x="149225" y="866775"/>
                  <a:pt x="156805" y="875586"/>
                  <a:pt x="161925" y="885825"/>
                </a:cubicBezTo>
                <a:cubicBezTo>
                  <a:pt x="201360" y="964695"/>
                  <a:pt x="135905" y="861083"/>
                  <a:pt x="190500" y="942975"/>
                </a:cubicBezTo>
                <a:cubicBezTo>
                  <a:pt x="195825" y="964273"/>
                  <a:pt x="209799" y="1024311"/>
                  <a:pt x="219075" y="1038225"/>
                </a:cubicBezTo>
                <a:cubicBezTo>
                  <a:pt x="225425" y="1047750"/>
                  <a:pt x="233476" y="1056339"/>
                  <a:pt x="238125" y="1066800"/>
                </a:cubicBezTo>
                <a:cubicBezTo>
                  <a:pt x="246280" y="1085150"/>
                  <a:pt x="257175" y="1123950"/>
                  <a:pt x="257175" y="1123950"/>
                </a:cubicBezTo>
                <a:cubicBezTo>
                  <a:pt x="254000" y="1209675"/>
                  <a:pt x="253356" y="1295531"/>
                  <a:pt x="247650" y="1381125"/>
                </a:cubicBezTo>
                <a:cubicBezTo>
                  <a:pt x="246982" y="1391143"/>
                  <a:pt x="243001" y="1400923"/>
                  <a:pt x="238125" y="1409700"/>
                </a:cubicBezTo>
                <a:cubicBezTo>
                  <a:pt x="227006" y="1429714"/>
                  <a:pt x="212725" y="1447800"/>
                  <a:pt x="200025" y="1466850"/>
                </a:cubicBezTo>
                <a:cubicBezTo>
                  <a:pt x="174625" y="1504950"/>
                  <a:pt x="190500" y="1489075"/>
                  <a:pt x="152400" y="1514475"/>
                </a:cubicBezTo>
                <a:cubicBezTo>
                  <a:pt x="123695" y="1629293"/>
                  <a:pt x="171468" y="1428625"/>
                  <a:pt x="133350" y="1695450"/>
                </a:cubicBezTo>
                <a:cubicBezTo>
                  <a:pt x="130510" y="1715329"/>
                  <a:pt x="120650" y="1733550"/>
                  <a:pt x="114300" y="1752600"/>
                </a:cubicBezTo>
                <a:cubicBezTo>
                  <a:pt x="101155" y="1792035"/>
                  <a:pt x="110344" y="1772821"/>
                  <a:pt x="85725" y="1809750"/>
                </a:cubicBezTo>
                <a:cubicBezTo>
                  <a:pt x="88159" y="1836519"/>
                  <a:pt x="86451" y="1906451"/>
                  <a:pt x="104775" y="1943100"/>
                </a:cubicBezTo>
                <a:cubicBezTo>
                  <a:pt x="109895" y="1953339"/>
                  <a:pt x="119176" y="1961214"/>
                  <a:pt x="123825" y="1971675"/>
                </a:cubicBezTo>
                <a:cubicBezTo>
                  <a:pt x="131980" y="1990025"/>
                  <a:pt x="136525" y="2009775"/>
                  <a:pt x="142875" y="2028825"/>
                </a:cubicBezTo>
                <a:cubicBezTo>
                  <a:pt x="152801" y="2058602"/>
                  <a:pt x="162427" y="2095835"/>
                  <a:pt x="190500" y="2114550"/>
                </a:cubicBezTo>
                <a:lnTo>
                  <a:pt x="219075" y="2133600"/>
                </a:lnTo>
                <a:cubicBezTo>
                  <a:pt x="247188" y="2175770"/>
                  <a:pt x="270321" y="2218564"/>
                  <a:pt x="314325" y="2247900"/>
                </a:cubicBezTo>
                <a:lnTo>
                  <a:pt x="371475" y="2286000"/>
                </a:lnTo>
                <a:lnTo>
                  <a:pt x="400050" y="2305050"/>
                </a:lnTo>
                <a:cubicBezTo>
                  <a:pt x="443719" y="2370554"/>
                  <a:pt x="416430" y="2354960"/>
                  <a:pt x="466725" y="2371725"/>
                </a:cubicBezTo>
                <a:cubicBezTo>
                  <a:pt x="476250" y="2381250"/>
                  <a:pt x="487828" y="2389092"/>
                  <a:pt x="495300" y="2400300"/>
                </a:cubicBezTo>
                <a:cubicBezTo>
                  <a:pt x="500869" y="2408654"/>
                  <a:pt x="500335" y="2419895"/>
                  <a:pt x="504825" y="2428875"/>
                </a:cubicBezTo>
                <a:cubicBezTo>
                  <a:pt x="509945" y="2439114"/>
                  <a:pt x="518755" y="2447211"/>
                  <a:pt x="523875" y="2457450"/>
                </a:cubicBezTo>
                <a:cubicBezTo>
                  <a:pt x="528365" y="2466430"/>
                  <a:pt x="527128" y="2478185"/>
                  <a:pt x="533400" y="2486025"/>
                </a:cubicBezTo>
                <a:cubicBezTo>
                  <a:pt x="540551" y="2494964"/>
                  <a:pt x="552450" y="2498725"/>
                  <a:pt x="561975" y="2505075"/>
                </a:cubicBezTo>
                <a:cubicBezTo>
                  <a:pt x="585916" y="2576899"/>
                  <a:pt x="553621" y="2488367"/>
                  <a:pt x="590550" y="2562225"/>
                </a:cubicBezTo>
                <a:cubicBezTo>
                  <a:pt x="595040" y="2571205"/>
                  <a:pt x="595585" y="2581820"/>
                  <a:pt x="600075" y="2590800"/>
                </a:cubicBezTo>
                <a:cubicBezTo>
                  <a:pt x="613336" y="2617322"/>
                  <a:pt x="626634" y="2626884"/>
                  <a:pt x="647700" y="2647950"/>
                </a:cubicBezTo>
                <a:cubicBezTo>
                  <a:pt x="650875" y="2657475"/>
                  <a:pt x="652735" y="2667545"/>
                  <a:pt x="657225" y="2676525"/>
                </a:cubicBezTo>
                <a:cubicBezTo>
                  <a:pt x="670486" y="2703047"/>
                  <a:pt x="683784" y="2712609"/>
                  <a:pt x="704850" y="2733675"/>
                </a:cubicBezTo>
                <a:cubicBezTo>
                  <a:pt x="705122" y="2737761"/>
                  <a:pt x="705575" y="2871892"/>
                  <a:pt x="723900" y="2914650"/>
                </a:cubicBezTo>
                <a:cubicBezTo>
                  <a:pt x="728409" y="2925172"/>
                  <a:pt x="738301" y="2932764"/>
                  <a:pt x="742950" y="2943225"/>
                </a:cubicBezTo>
                <a:cubicBezTo>
                  <a:pt x="751105" y="2961575"/>
                  <a:pt x="750861" y="2983667"/>
                  <a:pt x="762000" y="3000375"/>
                </a:cubicBezTo>
                <a:cubicBezTo>
                  <a:pt x="786619" y="3037304"/>
                  <a:pt x="777430" y="3018090"/>
                  <a:pt x="790575" y="3057525"/>
                </a:cubicBezTo>
                <a:cubicBezTo>
                  <a:pt x="809625" y="3054350"/>
                  <a:pt x="833191" y="3060718"/>
                  <a:pt x="847725" y="3048000"/>
                </a:cubicBezTo>
                <a:cubicBezTo>
                  <a:pt x="862837" y="3034777"/>
                  <a:pt x="860425" y="3009900"/>
                  <a:pt x="866775" y="2990850"/>
                </a:cubicBezTo>
                <a:cubicBezTo>
                  <a:pt x="869950" y="2981325"/>
                  <a:pt x="874331" y="2972120"/>
                  <a:pt x="876300" y="2962275"/>
                </a:cubicBezTo>
                <a:cubicBezTo>
                  <a:pt x="879475" y="2946400"/>
                  <a:pt x="878585" y="2929130"/>
                  <a:pt x="885825" y="2914650"/>
                </a:cubicBezTo>
                <a:cubicBezTo>
                  <a:pt x="897751" y="2890798"/>
                  <a:pt x="924220" y="2882654"/>
                  <a:pt x="942975" y="2867025"/>
                </a:cubicBezTo>
                <a:cubicBezTo>
                  <a:pt x="1036600" y="2789004"/>
                  <a:pt x="915675" y="2884800"/>
                  <a:pt x="990600" y="2809875"/>
                </a:cubicBezTo>
                <a:cubicBezTo>
                  <a:pt x="998695" y="2801780"/>
                  <a:pt x="1009650" y="2797175"/>
                  <a:pt x="1019175" y="2790825"/>
                </a:cubicBezTo>
                <a:cubicBezTo>
                  <a:pt x="1022350" y="2771775"/>
                  <a:pt x="1024510" y="2752528"/>
                  <a:pt x="1028700" y="2733675"/>
                </a:cubicBezTo>
                <a:cubicBezTo>
                  <a:pt x="1039229" y="2686294"/>
                  <a:pt x="1038225" y="2720135"/>
                  <a:pt x="1038225" y="2695575"/>
                </a:cubicBezTo>
              </a:path>
            </a:pathLst>
          </a:custGeom>
          <a:solidFill>
            <a:srgbClr val="FF0000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37</xdr:col>
      <xdr:colOff>95250</xdr:colOff>
      <xdr:row>25</xdr:row>
      <xdr:rowOff>107156</xdr:rowOff>
    </xdr:from>
    <xdr:to>
      <xdr:col>40</xdr:col>
      <xdr:colOff>107156</xdr:colOff>
      <xdr:row>28</xdr:row>
      <xdr:rowOff>119062</xdr:rowOff>
    </xdr:to>
    <xdr:cxnSp macro="">
      <xdr:nvCxnSpPr>
        <xdr:cNvPr id="16" name="Straight Connector 15"/>
        <xdr:cNvCxnSpPr/>
      </xdr:nvCxnSpPr>
      <xdr:spPr>
        <a:xfrm>
          <a:off x="22879050" y="4888706"/>
          <a:ext cx="1840706" cy="5834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440531</xdr:colOff>
      <xdr:row>28</xdr:row>
      <xdr:rowOff>119063</xdr:rowOff>
    </xdr:from>
    <xdr:to>
      <xdr:col>40</xdr:col>
      <xdr:colOff>363322</xdr:colOff>
      <xdr:row>30</xdr:row>
      <xdr:rowOff>49559</xdr:rowOff>
    </xdr:to>
    <xdr:sp macro="" textlink="">
      <xdr:nvSpPr>
        <xdr:cNvPr id="52" name="Rectangle 51"/>
        <xdr:cNvSpPr/>
      </xdr:nvSpPr>
      <xdr:spPr>
        <a:xfrm>
          <a:off x="24348281" y="5476876"/>
          <a:ext cx="530010" cy="311496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14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Bahrain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40821</xdr:colOff>
      <xdr:row>17</xdr:row>
      <xdr:rowOff>231321</xdr:rowOff>
    </xdr:from>
    <xdr:to>
      <xdr:col>29</xdr:col>
      <xdr:colOff>316370</xdr:colOff>
      <xdr:row>32</xdr:row>
      <xdr:rowOff>248530</xdr:rowOff>
    </xdr:to>
    <xdr:sp macro="" textlink="">
      <xdr:nvSpPr>
        <xdr:cNvPr id="2" name="Freeform 1"/>
        <xdr:cNvSpPr/>
      </xdr:nvSpPr>
      <xdr:spPr>
        <a:xfrm>
          <a:off x="14695714" y="1945821"/>
          <a:ext cx="2779263" cy="1377923"/>
        </a:xfrm>
        <a:custGeom>
          <a:avLst/>
          <a:gdLst>
            <a:gd name="connsiteX0" fmla="*/ 1115786 w 2779263"/>
            <a:gd name="connsiteY0" fmla="*/ 68036 h 1377923"/>
            <a:gd name="connsiteX1" fmla="*/ 1047750 w 2779263"/>
            <a:gd name="connsiteY1" fmla="*/ 27215 h 1377923"/>
            <a:gd name="connsiteX2" fmla="*/ 843643 w 2779263"/>
            <a:gd name="connsiteY2" fmla="*/ 0 h 1377923"/>
            <a:gd name="connsiteX3" fmla="*/ 258536 w 2779263"/>
            <a:gd name="connsiteY3" fmla="*/ 40822 h 1377923"/>
            <a:gd name="connsiteX4" fmla="*/ 136072 w 2779263"/>
            <a:gd name="connsiteY4" fmla="*/ 176893 h 1377923"/>
            <a:gd name="connsiteX5" fmla="*/ 95250 w 2779263"/>
            <a:gd name="connsiteY5" fmla="*/ 217715 h 1377923"/>
            <a:gd name="connsiteX6" fmla="*/ 0 w 2779263"/>
            <a:gd name="connsiteY6" fmla="*/ 408215 h 1377923"/>
            <a:gd name="connsiteX7" fmla="*/ 13607 w 2779263"/>
            <a:gd name="connsiteY7" fmla="*/ 734786 h 1377923"/>
            <a:gd name="connsiteX8" fmla="*/ 68036 w 2779263"/>
            <a:gd name="connsiteY8" fmla="*/ 816429 h 1377923"/>
            <a:gd name="connsiteX9" fmla="*/ 272143 w 2779263"/>
            <a:gd name="connsiteY9" fmla="*/ 979715 h 1377923"/>
            <a:gd name="connsiteX10" fmla="*/ 598715 w 2779263"/>
            <a:gd name="connsiteY10" fmla="*/ 1156608 h 1377923"/>
            <a:gd name="connsiteX11" fmla="*/ 693965 w 2779263"/>
            <a:gd name="connsiteY11" fmla="*/ 1183822 h 1377923"/>
            <a:gd name="connsiteX12" fmla="*/ 802822 w 2779263"/>
            <a:gd name="connsiteY12" fmla="*/ 1224643 h 1377923"/>
            <a:gd name="connsiteX13" fmla="*/ 1197429 w 2779263"/>
            <a:gd name="connsiteY13" fmla="*/ 1292679 h 1377923"/>
            <a:gd name="connsiteX14" fmla="*/ 1360715 w 2779263"/>
            <a:gd name="connsiteY14" fmla="*/ 1347108 h 1377923"/>
            <a:gd name="connsiteX15" fmla="*/ 1496786 w 2779263"/>
            <a:gd name="connsiteY15" fmla="*/ 1360715 h 1377923"/>
            <a:gd name="connsiteX16" fmla="*/ 1905000 w 2779263"/>
            <a:gd name="connsiteY16" fmla="*/ 1374322 h 1377923"/>
            <a:gd name="connsiteX17" fmla="*/ 2476500 w 2779263"/>
            <a:gd name="connsiteY17" fmla="*/ 1333500 h 1377923"/>
            <a:gd name="connsiteX18" fmla="*/ 2558143 w 2779263"/>
            <a:gd name="connsiteY18" fmla="*/ 1292679 h 1377923"/>
            <a:gd name="connsiteX19" fmla="*/ 2762250 w 2779263"/>
            <a:gd name="connsiteY19" fmla="*/ 1047750 h 1377923"/>
            <a:gd name="connsiteX20" fmla="*/ 2707822 w 2779263"/>
            <a:gd name="connsiteY20" fmla="*/ 830036 h 1377923"/>
            <a:gd name="connsiteX21" fmla="*/ 2680607 w 2779263"/>
            <a:gd name="connsiteY21" fmla="*/ 775608 h 1377923"/>
            <a:gd name="connsiteX22" fmla="*/ 2558143 w 2779263"/>
            <a:gd name="connsiteY22" fmla="*/ 625929 h 1377923"/>
            <a:gd name="connsiteX23" fmla="*/ 2530929 w 2779263"/>
            <a:gd name="connsiteY23" fmla="*/ 585108 h 1377923"/>
            <a:gd name="connsiteX24" fmla="*/ 2408465 w 2779263"/>
            <a:gd name="connsiteY24" fmla="*/ 476250 h 1377923"/>
            <a:gd name="connsiteX25" fmla="*/ 2367643 w 2779263"/>
            <a:gd name="connsiteY25" fmla="*/ 449036 h 1377923"/>
            <a:gd name="connsiteX26" fmla="*/ 2299607 w 2779263"/>
            <a:gd name="connsiteY26" fmla="*/ 435429 h 1377923"/>
            <a:gd name="connsiteX27" fmla="*/ 2013857 w 2779263"/>
            <a:gd name="connsiteY27" fmla="*/ 381000 h 1377923"/>
            <a:gd name="connsiteX28" fmla="*/ 1850572 w 2779263"/>
            <a:gd name="connsiteY28" fmla="*/ 340179 h 1377923"/>
            <a:gd name="connsiteX29" fmla="*/ 1768929 w 2779263"/>
            <a:gd name="connsiteY29" fmla="*/ 312965 h 1377923"/>
            <a:gd name="connsiteX30" fmla="*/ 1387929 w 2779263"/>
            <a:gd name="connsiteY30" fmla="*/ 258536 h 1377923"/>
            <a:gd name="connsiteX31" fmla="*/ 1347107 w 2779263"/>
            <a:gd name="connsiteY31" fmla="*/ 244929 h 1377923"/>
            <a:gd name="connsiteX32" fmla="*/ 1265465 w 2779263"/>
            <a:gd name="connsiteY32" fmla="*/ 231322 h 1377923"/>
            <a:gd name="connsiteX33" fmla="*/ 1211036 w 2779263"/>
            <a:gd name="connsiteY33" fmla="*/ 204108 h 1377923"/>
            <a:gd name="connsiteX34" fmla="*/ 1115786 w 2779263"/>
            <a:gd name="connsiteY34" fmla="*/ 122465 h 1377923"/>
            <a:gd name="connsiteX35" fmla="*/ 1088572 w 2779263"/>
            <a:gd name="connsiteY35" fmla="*/ 68036 h 1377923"/>
            <a:gd name="connsiteX36" fmla="*/ 1074965 w 2779263"/>
            <a:gd name="connsiteY36" fmla="*/ 27215 h 1377923"/>
            <a:gd name="connsiteX37" fmla="*/ 1034143 w 2779263"/>
            <a:gd name="connsiteY37" fmla="*/ 27215 h 137792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</a:cxnLst>
          <a:rect l="l" t="t" r="r" b="b"/>
          <a:pathLst>
            <a:path w="2779263" h="1377923">
              <a:moveTo>
                <a:pt x="1115786" y="68036"/>
              </a:moveTo>
              <a:cubicBezTo>
                <a:pt x="1093107" y="54429"/>
                <a:pt x="1072840" y="35578"/>
                <a:pt x="1047750" y="27215"/>
              </a:cubicBezTo>
              <a:cubicBezTo>
                <a:pt x="1036488" y="23461"/>
                <a:pt x="847288" y="456"/>
                <a:pt x="843643" y="0"/>
              </a:cubicBezTo>
              <a:cubicBezTo>
                <a:pt x="648607" y="13607"/>
                <a:pt x="452472" y="16064"/>
                <a:pt x="258536" y="40822"/>
              </a:cubicBezTo>
              <a:cubicBezTo>
                <a:pt x="214071" y="46498"/>
                <a:pt x="146443" y="163930"/>
                <a:pt x="136072" y="176893"/>
              </a:cubicBezTo>
              <a:cubicBezTo>
                <a:pt x="124051" y="191920"/>
                <a:pt x="105007" y="201128"/>
                <a:pt x="95250" y="217715"/>
              </a:cubicBezTo>
              <a:cubicBezTo>
                <a:pt x="59254" y="278908"/>
                <a:pt x="0" y="408215"/>
                <a:pt x="0" y="408215"/>
              </a:cubicBezTo>
              <a:cubicBezTo>
                <a:pt x="4536" y="517072"/>
                <a:pt x="-4305" y="627317"/>
                <a:pt x="13607" y="734786"/>
              </a:cubicBezTo>
              <a:cubicBezTo>
                <a:pt x="18984" y="767049"/>
                <a:pt x="44908" y="793301"/>
                <a:pt x="68036" y="816429"/>
              </a:cubicBezTo>
              <a:cubicBezTo>
                <a:pt x="171516" y="919909"/>
                <a:pt x="146201" y="908873"/>
                <a:pt x="272143" y="979715"/>
              </a:cubicBezTo>
              <a:cubicBezTo>
                <a:pt x="380045" y="1040410"/>
                <a:pt x="479677" y="1122598"/>
                <a:pt x="598715" y="1156608"/>
              </a:cubicBezTo>
              <a:cubicBezTo>
                <a:pt x="630465" y="1165679"/>
                <a:pt x="662639" y="1173380"/>
                <a:pt x="693965" y="1183822"/>
              </a:cubicBezTo>
              <a:cubicBezTo>
                <a:pt x="730729" y="1196077"/>
                <a:pt x="764944" y="1216453"/>
                <a:pt x="802822" y="1224643"/>
              </a:cubicBezTo>
              <a:cubicBezTo>
                <a:pt x="933284" y="1252851"/>
                <a:pt x="1067057" y="1264061"/>
                <a:pt x="1197429" y="1292679"/>
              </a:cubicBezTo>
              <a:cubicBezTo>
                <a:pt x="1253468" y="1304980"/>
                <a:pt x="1304769" y="1334393"/>
                <a:pt x="1360715" y="1347108"/>
              </a:cubicBezTo>
              <a:cubicBezTo>
                <a:pt x="1405165" y="1357210"/>
                <a:pt x="1451260" y="1358439"/>
                <a:pt x="1496786" y="1360715"/>
              </a:cubicBezTo>
              <a:cubicBezTo>
                <a:pt x="1632763" y="1367514"/>
                <a:pt x="1768929" y="1369786"/>
                <a:pt x="1905000" y="1374322"/>
              </a:cubicBezTo>
              <a:cubicBezTo>
                <a:pt x="2083015" y="1369236"/>
                <a:pt x="2297418" y="1402378"/>
                <a:pt x="2476500" y="1333500"/>
              </a:cubicBezTo>
              <a:cubicBezTo>
                <a:pt x="2504898" y="1322577"/>
                <a:pt x="2530929" y="1306286"/>
                <a:pt x="2558143" y="1292679"/>
              </a:cubicBezTo>
              <a:cubicBezTo>
                <a:pt x="2626179" y="1211036"/>
                <a:pt x="2721150" y="1145756"/>
                <a:pt x="2762250" y="1047750"/>
              </a:cubicBezTo>
              <a:cubicBezTo>
                <a:pt x="2809671" y="934670"/>
                <a:pt x="2746986" y="898573"/>
                <a:pt x="2707822" y="830036"/>
              </a:cubicBezTo>
              <a:cubicBezTo>
                <a:pt x="2697758" y="812424"/>
                <a:pt x="2692602" y="791965"/>
                <a:pt x="2680607" y="775608"/>
              </a:cubicBezTo>
              <a:cubicBezTo>
                <a:pt x="2642485" y="723623"/>
                <a:pt x="2597971" y="676619"/>
                <a:pt x="2558143" y="625929"/>
              </a:cubicBezTo>
              <a:cubicBezTo>
                <a:pt x="2548039" y="613070"/>
                <a:pt x="2541398" y="597671"/>
                <a:pt x="2530929" y="585108"/>
              </a:cubicBezTo>
              <a:cubicBezTo>
                <a:pt x="2503153" y="551777"/>
                <a:pt x="2434762" y="496703"/>
                <a:pt x="2408465" y="476250"/>
              </a:cubicBezTo>
              <a:cubicBezTo>
                <a:pt x="2395556" y="466210"/>
                <a:pt x="2382956" y="454778"/>
                <a:pt x="2367643" y="449036"/>
              </a:cubicBezTo>
              <a:cubicBezTo>
                <a:pt x="2345988" y="440915"/>
                <a:pt x="2322120" y="440726"/>
                <a:pt x="2299607" y="435429"/>
              </a:cubicBezTo>
              <a:cubicBezTo>
                <a:pt x="2072418" y="381973"/>
                <a:pt x="2209695" y="402761"/>
                <a:pt x="2013857" y="381000"/>
              </a:cubicBezTo>
              <a:cubicBezTo>
                <a:pt x="1959429" y="367393"/>
                <a:pt x="1904629" y="355195"/>
                <a:pt x="1850572" y="340179"/>
              </a:cubicBezTo>
              <a:cubicBezTo>
                <a:pt x="1822932" y="332501"/>
                <a:pt x="1797179" y="317950"/>
                <a:pt x="1768929" y="312965"/>
              </a:cubicBezTo>
              <a:cubicBezTo>
                <a:pt x="1642592" y="290670"/>
                <a:pt x="1387929" y="258536"/>
                <a:pt x="1387929" y="258536"/>
              </a:cubicBezTo>
              <a:cubicBezTo>
                <a:pt x="1374322" y="254000"/>
                <a:pt x="1361109" y="248040"/>
                <a:pt x="1347107" y="244929"/>
              </a:cubicBezTo>
              <a:cubicBezTo>
                <a:pt x="1320175" y="238944"/>
                <a:pt x="1291891" y="239250"/>
                <a:pt x="1265465" y="231322"/>
              </a:cubicBezTo>
              <a:cubicBezTo>
                <a:pt x="1246036" y="225493"/>
                <a:pt x="1228237" y="214859"/>
                <a:pt x="1211036" y="204108"/>
              </a:cubicBezTo>
              <a:cubicBezTo>
                <a:pt x="1164488" y="175016"/>
                <a:pt x="1152894" y="159573"/>
                <a:pt x="1115786" y="122465"/>
              </a:cubicBezTo>
              <a:cubicBezTo>
                <a:pt x="1106715" y="104322"/>
                <a:pt x="1096562" y="86680"/>
                <a:pt x="1088572" y="68036"/>
              </a:cubicBezTo>
              <a:cubicBezTo>
                <a:pt x="1082922" y="54853"/>
                <a:pt x="1086440" y="35821"/>
                <a:pt x="1074965" y="27215"/>
              </a:cubicBezTo>
              <a:cubicBezTo>
                <a:pt x="1064079" y="19051"/>
                <a:pt x="1047750" y="27215"/>
                <a:pt x="1034143" y="27215"/>
              </a:cubicBezTo>
            </a:path>
          </a:pathLst>
        </a:cu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B54"/>
  <sheetViews>
    <sheetView tabSelected="1" topLeftCell="T3" zoomScaleNormal="100" workbookViewId="0">
      <selection activeCell="AF19" sqref="AF19"/>
    </sheetView>
  </sheetViews>
  <sheetFormatPr defaultRowHeight="15" x14ac:dyDescent="0.25"/>
  <cols>
    <col min="25" max="25" width="9.140625" customWidth="1"/>
    <col min="31" max="31" width="12.5703125" customWidth="1"/>
    <col min="54" max="54" width="16.5703125" customWidth="1"/>
  </cols>
  <sheetData>
    <row r="1" spans="18:54" x14ac:dyDescent="0.25"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F1" s="64"/>
      <c r="AG1" s="64"/>
      <c r="AH1" s="64"/>
      <c r="AI1" s="64"/>
      <c r="AJ1" s="64"/>
      <c r="AK1" s="64"/>
      <c r="AL1" s="64"/>
      <c r="AM1" s="64"/>
      <c r="AN1" s="64"/>
      <c r="AO1" s="64"/>
      <c r="AP1" s="64"/>
      <c r="AQ1" s="64"/>
      <c r="AR1" s="64"/>
      <c r="AS1" s="64"/>
      <c r="AT1" s="64"/>
      <c r="AU1" s="64"/>
      <c r="AV1" s="64"/>
      <c r="AW1" s="64"/>
    </row>
    <row r="2" spans="18:54" x14ac:dyDescent="0.25">
      <c r="R2" s="64"/>
      <c r="S2" s="64"/>
      <c r="T2" s="64"/>
      <c r="U2" s="64"/>
      <c r="V2" s="64"/>
      <c r="W2" s="64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</row>
    <row r="3" spans="18:54" x14ac:dyDescent="0.25">
      <c r="R3" s="64"/>
      <c r="S3" s="64"/>
      <c r="T3" s="64"/>
      <c r="U3" s="64"/>
      <c r="V3" s="64"/>
      <c r="W3" s="64"/>
      <c r="X3" s="64"/>
      <c r="Y3" s="64"/>
      <c r="Z3" s="64"/>
      <c r="AA3" s="64"/>
      <c r="AB3" s="64"/>
      <c r="AC3" s="64"/>
      <c r="AD3" s="64"/>
      <c r="AE3" s="64"/>
      <c r="AF3" s="64"/>
      <c r="AG3" s="64"/>
      <c r="AH3" s="64"/>
      <c r="AI3" s="64"/>
      <c r="AJ3" s="64"/>
      <c r="AK3" s="64"/>
      <c r="AL3" s="64"/>
      <c r="AM3" s="64"/>
      <c r="AN3" s="64"/>
      <c r="AO3" s="64"/>
      <c r="AP3" s="64"/>
      <c r="AQ3" s="64"/>
      <c r="AR3" s="64"/>
      <c r="AS3" s="64"/>
      <c r="AT3" s="64"/>
      <c r="AU3" s="64"/>
      <c r="AV3" s="64"/>
      <c r="AW3" s="64"/>
    </row>
    <row r="4" spans="18:54" x14ac:dyDescent="0.25"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64"/>
      <c r="AN4" s="64"/>
      <c r="AO4" s="64"/>
      <c r="AP4" s="64"/>
      <c r="AQ4" s="64"/>
      <c r="AR4" s="64"/>
      <c r="AS4" s="64"/>
      <c r="AT4" s="64"/>
      <c r="AU4" s="64"/>
      <c r="AV4" s="64"/>
      <c r="AW4" s="64"/>
    </row>
    <row r="5" spans="18:54" x14ac:dyDescent="0.25"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</row>
    <row r="6" spans="18:54" x14ac:dyDescent="0.25"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</row>
    <row r="7" spans="18:54" x14ac:dyDescent="0.25">
      <c r="R7" s="64"/>
      <c r="S7" s="64"/>
      <c r="T7" s="64"/>
      <c r="U7" s="64"/>
      <c r="V7" s="64"/>
      <c r="W7" s="64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64"/>
      <c r="AU7" s="64"/>
      <c r="AV7" s="64"/>
      <c r="AW7" s="64"/>
    </row>
    <row r="8" spans="18:54" ht="15.75" thickBot="1" x14ac:dyDescent="0.3">
      <c r="R8" s="64"/>
      <c r="S8" s="64"/>
      <c r="T8" s="64"/>
      <c r="U8" s="64"/>
      <c r="V8" s="64"/>
      <c r="W8" s="64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64"/>
      <c r="AU8" s="64"/>
      <c r="AV8" s="64"/>
      <c r="AW8" s="64"/>
    </row>
    <row r="9" spans="18:54" ht="15.75" thickTop="1" x14ac:dyDescent="0.25">
      <c r="R9" s="64"/>
      <c r="S9" s="64"/>
      <c r="T9" s="64"/>
      <c r="U9" s="64"/>
      <c r="V9" s="64"/>
      <c r="W9" s="64"/>
      <c r="X9" s="71"/>
      <c r="Y9" s="74"/>
      <c r="Z9" s="75"/>
      <c r="AA9" s="75"/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6"/>
      <c r="AS9" s="71"/>
      <c r="AT9" s="64"/>
      <c r="AU9" s="64"/>
      <c r="AV9" s="64"/>
      <c r="AW9" s="64"/>
    </row>
    <row r="10" spans="18:54" x14ac:dyDescent="0.25">
      <c r="R10" s="64"/>
      <c r="S10" s="64"/>
      <c r="T10" s="64"/>
      <c r="U10" s="64"/>
      <c r="V10" s="64"/>
      <c r="W10" s="64"/>
      <c r="X10" s="71"/>
      <c r="Y10" s="72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73"/>
      <c r="AS10" s="71"/>
      <c r="AT10" s="64"/>
      <c r="AU10" s="64"/>
      <c r="AV10" s="64"/>
      <c r="AW10" s="64"/>
    </row>
    <row r="11" spans="18:54" x14ac:dyDescent="0.25">
      <c r="R11" s="64"/>
      <c r="S11" s="64"/>
      <c r="T11" s="64"/>
      <c r="U11" s="64"/>
      <c r="V11" s="64"/>
      <c r="W11" s="64"/>
      <c r="X11" s="71"/>
      <c r="Y11" s="72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73"/>
      <c r="AS11" s="71"/>
      <c r="AT11" s="64"/>
      <c r="AU11" s="64"/>
      <c r="AV11" s="64"/>
      <c r="AW11" s="64"/>
      <c r="BB11" s="70" t="s">
        <v>5</v>
      </c>
    </row>
    <row r="12" spans="18:54" x14ac:dyDescent="0.25">
      <c r="R12" s="64"/>
      <c r="S12" s="64"/>
      <c r="T12" s="64"/>
      <c r="U12" s="64"/>
      <c r="V12" s="64"/>
      <c r="W12" s="64"/>
      <c r="X12" s="71"/>
      <c r="Y12" s="72"/>
      <c r="Z12" s="61"/>
      <c r="AA12" s="61"/>
      <c r="AB12" s="61"/>
      <c r="AC12" s="86" t="s">
        <v>74</v>
      </c>
      <c r="AD12" s="86"/>
      <c r="AE12" s="69" t="s">
        <v>15</v>
      </c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73"/>
      <c r="AS12" s="71"/>
      <c r="AT12" s="64"/>
      <c r="AU12" s="64"/>
      <c r="AV12" s="64"/>
      <c r="AW12" s="64"/>
      <c r="BB12" s="70" t="s">
        <v>7</v>
      </c>
    </row>
    <row r="13" spans="18:54" x14ac:dyDescent="0.25">
      <c r="R13" s="64"/>
      <c r="S13" s="64"/>
      <c r="T13" s="64"/>
      <c r="U13" s="64"/>
      <c r="V13" s="64"/>
      <c r="W13" s="64"/>
      <c r="X13" s="71"/>
      <c r="Y13" s="72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73"/>
      <c r="AS13" s="71"/>
      <c r="AT13" s="64"/>
      <c r="AU13" s="64"/>
      <c r="AV13" s="64"/>
      <c r="AW13" s="64"/>
      <c r="BA13" s="43"/>
      <c r="BB13" s="70" t="s">
        <v>9</v>
      </c>
    </row>
    <row r="14" spans="18:54" x14ac:dyDescent="0.25">
      <c r="R14" s="64"/>
      <c r="S14" s="64"/>
      <c r="T14" s="64"/>
      <c r="U14" s="64"/>
      <c r="V14" s="64"/>
      <c r="W14" s="64"/>
      <c r="X14" s="71"/>
      <c r="Y14" s="72"/>
      <c r="Z14" s="61"/>
      <c r="AA14" s="61"/>
      <c r="AB14" s="61"/>
      <c r="AC14" s="61"/>
      <c r="AD14" s="61"/>
      <c r="AE14" s="61"/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73"/>
      <c r="AS14" s="71"/>
      <c r="AT14" s="64"/>
      <c r="AU14" s="64"/>
      <c r="AV14" s="64"/>
      <c r="AW14" s="64"/>
      <c r="BA14" s="43"/>
      <c r="BB14" s="70" t="s">
        <v>73</v>
      </c>
    </row>
    <row r="15" spans="18:54" x14ac:dyDescent="0.25">
      <c r="R15" s="64"/>
      <c r="S15" s="64"/>
      <c r="T15" s="64"/>
      <c r="U15" s="64"/>
      <c r="V15" s="64"/>
      <c r="W15" s="64"/>
      <c r="X15" s="71"/>
      <c r="Y15" s="72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73"/>
      <c r="AS15" s="71"/>
      <c r="AT15" s="64"/>
      <c r="AU15" s="64"/>
      <c r="AV15" s="64"/>
      <c r="AW15" s="64"/>
      <c r="BA15" s="43"/>
      <c r="BB15" s="70" t="s">
        <v>13</v>
      </c>
    </row>
    <row r="16" spans="18:54" x14ac:dyDescent="0.25">
      <c r="R16" s="64"/>
      <c r="S16" s="64"/>
      <c r="T16" s="64"/>
      <c r="U16" s="64"/>
      <c r="V16" s="64"/>
      <c r="W16" s="64"/>
      <c r="X16" s="71"/>
      <c r="Y16" s="72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73"/>
      <c r="AS16" s="71"/>
      <c r="AT16" s="64"/>
      <c r="AU16" s="64"/>
      <c r="AV16" s="64"/>
      <c r="AW16" s="64"/>
      <c r="BA16" s="43"/>
      <c r="BB16" s="70" t="s">
        <v>15</v>
      </c>
    </row>
    <row r="17" spans="18:54" x14ac:dyDescent="0.25">
      <c r="R17" s="64"/>
      <c r="S17" s="64"/>
      <c r="T17" s="64"/>
      <c r="U17" s="64"/>
      <c r="V17" s="64"/>
      <c r="W17" s="64"/>
      <c r="X17" s="71"/>
      <c r="Y17" s="72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73"/>
      <c r="AS17" s="71"/>
      <c r="AT17" s="64"/>
      <c r="AU17" s="64"/>
      <c r="AV17" s="64"/>
      <c r="AW17" s="64"/>
      <c r="BA17" s="43"/>
      <c r="BB17" s="70" t="s">
        <v>1</v>
      </c>
    </row>
    <row r="18" spans="18:54" x14ac:dyDescent="0.25">
      <c r="R18" s="64"/>
      <c r="S18" s="64"/>
      <c r="T18" s="64"/>
      <c r="U18" s="64"/>
      <c r="V18" s="64"/>
      <c r="W18" s="64"/>
      <c r="X18" s="71"/>
      <c r="Y18" s="72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73"/>
      <c r="AS18" s="71"/>
      <c r="AT18" s="64"/>
      <c r="AU18" s="64"/>
      <c r="AV18" s="64"/>
      <c r="AW18" s="64"/>
      <c r="BA18" s="43"/>
      <c r="BB18" s="70" t="s">
        <v>18</v>
      </c>
    </row>
    <row r="19" spans="18:54" x14ac:dyDescent="0.25">
      <c r="R19" s="64"/>
      <c r="S19" s="64"/>
      <c r="T19" s="64"/>
      <c r="U19" s="64"/>
      <c r="V19" s="64"/>
      <c r="W19" s="64"/>
      <c r="X19" s="71"/>
      <c r="Y19" s="72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73"/>
      <c r="AS19" s="71"/>
      <c r="AT19" s="64"/>
      <c r="AU19" s="64"/>
      <c r="AV19" s="64"/>
      <c r="AW19" s="64"/>
      <c r="BA19" s="43"/>
      <c r="BB19" s="70" t="s">
        <v>69</v>
      </c>
    </row>
    <row r="20" spans="18:54" x14ac:dyDescent="0.25">
      <c r="R20" s="64"/>
      <c r="S20" s="64"/>
      <c r="T20" s="64"/>
      <c r="U20" s="64"/>
      <c r="V20" s="64"/>
      <c r="W20" s="64"/>
      <c r="X20" s="71"/>
      <c r="Y20" s="72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73"/>
      <c r="AS20" s="71"/>
      <c r="AT20" s="64"/>
      <c r="AU20" s="64"/>
      <c r="AV20" s="64"/>
      <c r="AW20" s="64"/>
      <c r="BA20" s="43"/>
      <c r="BB20" s="70" t="s">
        <v>20</v>
      </c>
    </row>
    <row r="21" spans="18:54" x14ac:dyDescent="0.25">
      <c r="R21" s="64"/>
      <c r="S21" s="64"/>
      <c r="T21" s="64"/>
      <c r="U21" s="64"/>
      <c r="V21" s="64"/>
      <c r="W21" s="64"/>
      <c r="X21" s="71"/>
      <c r="Y21" s="72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73"/>
      <c r="AS21" s="71"/>
      <c r="AT21" s="64"/>
      <c r="AU21" s="64"/>
      <c r="AV21" s="64"/>
      <c r="AW21" s="64"/>
      <c r="BA21" s="43"/>
      <c r="BB21" s="70" t="s">
        <v>52</v>
      </c>
    </row>
    <row r="22" spans="18:54" x14ac:dyDescent="0.25">
      <c r="R22" s="64"/>
      <c r="S22" s="64"/>
      <c r="T22" s="64"/>
      <c r="U22" s="64"/>
      <c r="V22" s="64"/>
      <c r="W22" s="64"/>
      <c r="X22" s="71"/>
      <c r="Y22" s="72"/>
      <c r="Z22" s="61"/>
      <c r="AA22" s="61"/>
      <c r="AB22" s="61"/>
      <c r="AC22" s="61"/>
      <c r="AD22" s="61"/>
      <c r="AE22" s="61"/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73"/>
      <c r="AS22" s="71"/>
      <c r="AT22" s="64"/>
      <c r="AU22" s="64"/>
      <c r="AV22" s="64"/>
      <c r="AW22" s="64"/>
    </row>
    <row r="23" spans="18:54" x14ac:dyDescent="0.25">
      <c r="R23" s="64"/>
      <c r="S23" s="64"/>
      <c r="T23" s="64"/>
      <c r="U23" s="64"/>
      <c r="V23" s="64"/>
      <c r="W23" s="64"/>
      <c r="X23" s="71"/>
      <c r="Y23" s="72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73"/>
      <c r="AS23" s="71"/>
      <c r="AT23" s="64"/>
      <c r="AU23" s="64"/>
      <c r="AV23" s="64"/>
      <c r="AW23" s="64"/>
    </row>
    <row r="24" spans="18:54" x14ac:dyDescent="0.25">
      <c r="R24" s="64"/>
      <c r="S24" s="64"/>
      <c r="T24" s="64"/>
      <c r="U24" s="64"/>
      <c r="V24" s="64"/>
      <c r="W24" s="64"/>
      <c r="X24" s="71"/>
      <c r="Y24" s="72"/>
      <c r="Z24" s="61"/>
      <c r="AA24" s="61"/>
      <c r="AB24" s="61"/>
      <c r="AC24" s="61"/>
      <c r="AD24" s="61"/>
      <c r="AE24" s="61"/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73"/>
      <c r="AS24" s="71"/>
      <c r="AT24" s="64"/>
      <c r="AU24" s="64"/>
      <c r="AV24" s="64"/>
      <c r="AW24" s="64"/>
    </row>
    <row r="25" spans="18:54" x14ac:dyDescent="0.25">
      <c r="R25" s="64"/>
      <c r="S25" s="64"/>
      <c r="T25" s="64"/>
      <c r="U25" s="64"/>
      <c r="V25" s="64"/>
      <c r="W25" s="64"/>
      <c r="X25" s="71"/>
      <c r="Y25" s="72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73"/>
      <c r="AS25" s="71"/>
      <c r="AT25" s="64"/>
      <c r="AU25" s="64"/>
      <c r="AV25" s="64"/>
      <c r="AW25" s="64"/>
    </row>
    <row r="26" spans="18:54" x14ac:dyDescent="0.25">
      <c r="R26" s="64"/>
      <c r="S26" s="64"/>
      <c r="T26" s="64"/>
      <c r="U26" s="64"/>
      <c r="V26" s="64"/>
      <c r="W26" s="64"/>
      <c r="X26" s="71"/>
      <c r="Y26" s="72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73"/>
      <c r="AS26" s="71"/>
      <c r="AT26" s="64"/>
      <c r="AU26" s="64"/>
      <c r="AV26" s="64"/>
      <c r="AW26" s="64"/>
    </row>
    <row r="27" spans="18:54" x14ac:dyDescent="0.25">
      <c r="R27" s="64"/>
      <c r="S27" s="64"/>
      <c r="T27" s="64"/>
      <c r="U27" s="64"/>
      <c r="V27" s="64"/>
      <c r="W27" s="64"/>
      <c r="X27" s="71"/>
      <c r="Y27" s="72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73"/>
      <c r="AS27" s="71"/>
      <c r="AT27" s="64"/>
      <c r="AU27" s="64"/>
      <c r="AV27" s="64"/>
      <c r="AW27" s="64"/>
    </row>
    <row r="28" spans="18:54" x14ac:dyDescent="0.25">
      <c r="R28" s="64"/>
      <c r="S28" s="64"/>
      <c r="T28" s="64"/>
      <c r="U28" s="64"/>
      <c r="V28" s="64"/>
      <c r="W28" s="64"/>
      <c r="X28" s="71"/>
      <c r="Y28" s="72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73"/>
      <c r="AS28" s="71"/>
      <c r="AT28" s="64"/>
      <c r="AU28" s="64"/>
      <c r="AV28" s="64"/>
      <c r="AW28" s="64"/>
    </row>
    <row r="29" spans="18:54" x14ac:dyDescent="0.25">
      <c r="R29" s="64"/>
      <c r="S29" s="64"/>
      <c r="T29" s="64"/>
      <c r="U29" s="64"/>
      <c r="V29" s="64"/>
      <c r="W29" s="64"/>
      <c r="X29" s="71"/>
      <c r="Y29" s="72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1"/>
      <c r="AR29" s="73"/>
      <c r="AS29" s="71"/>
      <c r="AT29" s="64"/>
      <c r="AU29" s="64"/>
      <c r="AV29" s="64"/>
      <c r="AW29" s="64"/>
    </row>
    <row r="30" spans="18:54" x14ac:dyDescent="0.25">
      <c r="R30" s="64"/>
      <c r="S30" s="64"/>
      <c r="T30" s="64"/>
      <c r="U30" s="64"/>
      <c r="V30" s="64"/>
      <c r="W30" s="64"/>
      <c r="X30" s="71"/>
      <c r="Y30" s="72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73"/>
      <c r="AS30" s="71"/>
      <c r="AT30" s="64"/>
      <c r="AU30" s="64"/>
      <c r="AV30" s="64"/>
      <c r="AW30" s="64"/>
    </row>
    <row r="31" spans="18:54" x14ac:dyDescent="0.25">
      <c r="R31" s="64"/>
      <c r="S31" s="64"/>
      <c r="T31" s="64"/>
      <c r="U31" s="64"/>
      <c r="V31" s="64"/>
      <c r="W31" s="64"/>
      <c r="X31" s="71"/>
      <c r="Y31" s="72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73"/>
      <c r="AS31" s="71"/>
      <c r="AT31" s="64"/>
      <c r="AU31" s="64"/>
      <c r="AV31" s="64"/>
      <c r="AW31" s="64"/>
    </row>
    <row r="32" spans="18:54" x14ac:dyDescent="0.25">
      <c r="R32" s="64"/>
      <c r="S32" s="64"/>
      <c r="T32" s="64"/>
      <c r="U32" s="64"/>
      <c r="V32" s="64"/>
      <c r="W32" s="64"/>
      <c r="X32" s="71"/>
      <c r="Y32" s="72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73"/>
      <c r="AS32" s="71"/>
      <c r="AT32" s="64"/>
      <c r="AU32" s="64"/>
      <c r="AV32" s="64"/>
      <c r="AW32" s="64"/>
    </row>
    <row r="33" spans="1:49" x14ac:dyDescent="0.25">
      <c r="R33" s="64"/>
      <c r="S33" s="64"/>
      <c r="T33" s="64"/>
      <c r="U33" s="64"/>
      <c r="V33" s="64"/>
      <c r="W33" s="64"/>
      <c r="X33" s="71"/>
      <c r="Y33" s="72"/>
      <c r="Z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73"/>
      <c r="AS33" s="71"/>
      <c r="AT33" s="64"/>
      <c r="AU33" s="64"/>
      <c r="AV33" s="64"/>
      <c r="AW33" s="64"/>
    </row>
    <row r="34" spans="1:49" x14ac:dyDescent="0.25">
      <c r="R34" s="64"/>
      <c r="S34" s="64"/>
      <c r="T34" s="64"/>
      <c r="U34" s="64"/>
      <c r="V34" s="64"/>
      <c r="W34" s="64"/>
      <c r="X34" s="71"/>
      <c r="Y34" s="72"/>
      <c r="Z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73"/>
      <c r="AS34" s="71"/>
      <c r="AT34" s="64"/>
      <c r="AU34" s="64"/>
      <c r="AV34" s="64"/>
      <c r="AW34" s="64"/>
    </row>
    <row r="35" spans="1:49" x14ac:dyDescent="0.25">
      <c r="R35" s="64"/>
      <c r="S35" s="64"/>
      <c r="T35" s="64"/>
      <c r="U35" s="64"/>
      <c r="V35" s="64"/>
      <c r="W35" s="64"/>
      <c r="X35" s="71"/>
      <c r="Y35" s="72"/>
      <c r="Z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73"/>
      <c r="AS35" s="71"/>
      <c r="AT35" s="64"/>
      <c r="AU35" s="64"/>
      <c r="AV35" s="64"/>
      <c r="AW35" s="64"/>
    </row>
    <row r="36" spans="1:49" x14ac:dyDescent="0.25">
      <c r="R36" s="64"/>
      <c r="S36" s="64"/>
      <c r="T36" s="64"/>
      <c r="U36" s="64"/>
      <c r="V36" s="64"/>
      <c r="W36" s="64"/>
      <c r="X36" s="71"/>
      <c r="Y36" s="72"/>
      <c r="Z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73"/>
      <c r="AS36" s="71"/>
      <c r="AT36" s="64"/>
      <c r="AU36" s="64"/>
      <c r="AV36" s="64"/>
      <c r="AW36" s="64"/>
    </row>
    <row r="37" spans="1:49" x14ac:dyDescent="0.25">
      <c r="R37" s="64"/>
      <c r="S37" s="64"/>
      <c r="T37" s="64"/>
      <c r="U37" s="64"/>
      <c r="V37" s="64"/>
      <c r="W37" s="64"/>
      <c r="X37" s="71"/>
      <c r="Y37" s="72"/>
      <c r="Z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73"/>
      <c r="AS37" s="71"/>
      <c r="AT37" s="64"/>
      <c r="AU37" s="64"/>
      <c r="AV37" s="64"/>
      <c r="AW37" s="64"/>
    </row>
    <row r="38" spans="1:49" x14ac:dyDescent="0.25">
      <c r="R38" s="64"/>
      <c r="S38" s="64"/>
      <c r="T38" s="64"/>
      <c r="U38" s="64"/>
      <c r="V38" s="64"/>
      <c r="W38" s="64"/>
      <c r="X38" s="71"/>
      <c r="Y38" s="72"/>
      <c r="Z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73"/>
      <c r="AS38" s="71"/>
      <c r="AT38" s="64"/>
      <c r="AU38" s="64"/>
      <c r="AV38" s="64"/>
      <c r="AW38" s="64"/>
    </row>
    <row r="39" spans="1:49" x14ac:dyDescent="0.25">
      <c r="R39" s="64"/>
      <c r="S39" s="64"/>
      <c r="T39" s="64"/>
      <c r="U39" s="64"/>
      <c r="V39" s="64"/>
      <c r="W39" s="64"/>
      <c r="X39" s="71"/>
      <c r="Y39" s="72"/>
      <c r="Z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73"/>
      <c r="AS39" s="71"/>
      <c r="AT39" s="64"/>
      <c r="AU39" s="64"/>
      <c r="AV39" s="64"/>
      <c r="AW39" s="64"/>
    </row>
    <row r="40" spans="1:49" x14ac:dyDescent="0.25">
      <c r="R40" s="64"/>
      <c r="S40" s="64"/>
      <c r="T40" s="64"/>
      <c r="U40" s="64"/>
      <c r="V40" s="64"/>
      <c r="W40" s="64"/>
      <c r="X40" s="71"/>
      <c r="Y40" s="72"/>
      <c r="Z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73"/>
      <c r="AS40" s="71"/>
      <c r="AT40" s="64"/>
      <c r="AU40" s="64"/>
      <c r="AV40" s="64"/>
      <c r="AW40" s="64"/>
    </row>
    <row r="41" spans="1:49" x14ac:dyDescent="0.25">
      <c r="R41" s="64"/>
      <c r="S41" s="64"/>
      <c r="T41" s="64"/>
      <c r="U41" s="64"/>
      <c r="V41" s="64"/>
      <c r="W41" s="64"/>
      <c r="X41" s="71"/>
      <c r="Y41" s="72"/>
      <c r="Z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73"/>
      <c r="AS41" s="71"/>
      <c r="AT41" s="64"/>
      <c r="AU41" s="64"/>
      <c r="AV41" s="64"/>
      <c r="AW41" s="64"/>
    </row>
    <row r="42" spans="1:49" x14ac:dyDescent="0.25">
      <c r="R42" s="64"/>
      <c r="S42" s="64"/>
      <c r="T42" s="64"/>
      <c r="U42" s="64"/>
      <c r="V42" s="64"/>
      <c r="W42" s="64"/>
      <c r="X42" s="71"/>
      <c r="Y42" s="72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  <c r="AO42" s="65"/>
      <c r="AP42" s="65"/>
      <c r="AQ42" s="65"/>
      <c r="AR42" s="73"/>
      <c r="AS42" s="71"/>
      <c r="AT42" s="64"/>
      <c r="AU42" s="64"/>
      <c r="AV42" s="64"/>
      <c r="AW42" s="64"/>
    </row>
    <row r="43" spans="1:49" ht="15.75" thickBot="1" x14ac:dyDescent="0.3">
      <c r="A43" s="64"/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71"/>
      <c r="Y43" s="78"/>
      <c r="Z43" s="79"/>
      <c r="AA43" s="79"/>
      <c r="AB43" s="79"/>
      <c r="AC43" s="79"/>
      <c r="AD43" s="79"/>
      <c r="AE43" s="79"/>
      <c r="AF43" s="79"/>
      <c r="AG43" s="79"/>
      <c r="AH43" s="79"/>
      <c r="AI43" s="79"/>
      <c r="AJ43" s="79"/>
      <c r="AK43" s="79"/>
      <c r="AL43" s="79"/>
      <c r="AM43" s="79"/>
      <c r="AN43" s="79"/>
      <c r="AO43" s="79"/>
      <c r="AP43" s="79"/>
      <c r="AQ43" s="79"/>
      <c r="AR43" s="80"/>
      <c r="AS43" s="71"/>
      <c r="AT43" s="64"/>
      <c r="AU43" s="64"/>
      <c r="AV43" s="64"/>
      <c r="AW43" s="64"/>
    </row>
    <row r="44" spans="1:49" ht="15.75" thickTop="1" x14ac:dyDescent="0.25">
      <c r="A44" s="64"/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/>
      <c r="AL44" s="71"/>
      <c r="AM44" s="71"/>
      <c r="AN44" s="71"/>
      <c r="AO44" s="71"/>
      <c r="AP44" s="71"/>
      <c r="AQ44" s="71"/>
      <c r="AR44" s="71"/>
      <c r="AS44" s="71"/>
      <c r="AT44" s="64"/>
      <c r="AU44" s="64"/>
      <c r="AV44" s="64"/>
      <c r="AW44" s="64"/>
    </row>
    <row r="45" spans="1:49" x14ac:dyDescent="0.25">
      <c r="A45" s="64"/>
      <c r="B45" s="64"/>
      <c r="C45" s="64"/>
      <c r="D45" s="64"/>
      <c r="E45" s="64"/>
      <c r="F45" s="64"/>
      <c r="G45" s="64"/>
      <c r="H45" s="64"/>
      <c r="I45" s="64"/>
      <c r="J45" s="64"/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71"/>
      <c r="Y45" s="71"/>
      <c r="Z45" s="71"/>
      <c r="AA45" s="71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1"/>
      <c r="AM45" s="71"/>
      <c r="AN45" s="71"/>
      <c r="AO45" s="71"/>
      <c r="AP45" s="71"/>
      <c r="AQ45" s="71"/>
      <c r="AR45" s="71"/>
      <c r="AS45" s="71"/>
      <c r="AT45" s="64"/>
      <c r="AU45" s="64"/>
      <c r="AV45" s="64"/>
      <c r="AW45" s="64"/>
    </row>
    <row r="46" spans="1:49" x14ac:dyDescent="0.25">
      <c r="A46" s="64"/>
      <c r="B46" s="64"/>
      <c r="C46" s="64"/>
      <c r="D46" s="64"/>
      <c r="E46" s="64"/>
      <c r="F46" s="64"/>
      <c r="G46" s="64"/>
      <c r="H46" s="64"/>
      <c r="I46" s="64"/>
      <c r="J46" s="64"/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4"/>
      <c r="AV46" s="64"/>
      <c r="AW46" s="64"/>
    </row>
    <row r="47" spans="1:49" x14ac:dyDescent="0.25">
      <c r="A47" s="64"/>
      <c r="B47" s="64"/>
      <c r="C47" s="64"/>
      <c r="D47" s="64"/>
      <c r="E47" s="64"/>
      <c r="F47" s="64"/>
      <c r="G47" s="64"/>
      <c r="H47" s="64"/>
      <c r="I47" s="64"/>
      <c r="J47" s="64"/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4"/>
      <c r="AN47" s="64"/>
      <c r="AO47" s="64"/>
      <c r="AP47" s="64"/>
      <c r="AQ47" s="64"/>
      <c r="AR47" s="64"/>
      <c r="AS47" s="64"/>
      <c r="AT47" s="64"/>
      <c r="AU47" s="64"/>
      <c r="AV47" s="64"/>
      <c r="AW47" s="64"/>
    </row>
    <row r="48" spans="1:49" x14ac:dyDescent="0.25">
      <c r="A48" s="64"/>
      <c r="B48" s="64"/>
      <c r="C48" s="64"/>
      <c r="D48" s="64"/>
      <c r="E48" s="64"/>
      <c r="F48" s="64"/>
      <c r="G48" s="64"/>
      <c r="H48" s="64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4"/>
      <c r="AV48" s="64"/>
      <c r="AW48" s="64"/>
    </row>
    <row r="49" spans="1:49" x14ac:dyDescent="0.25">
      <c r="A49" s="64"/>
      <c r="B49" s="64"/>
      <c r="C49" s="64"/>
      <c r="D49" s="64"/>
      <c r="E49" s="64"/>
      <c r="F49" s="64"/>
      <c r="G49" s="64"/>
      <c r="H49" s="64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4"/>
      <c r="AN49" s="64"/>
      <c r="AO49" s="64"/>
      <c r="AP49" s="64"/>
      <c r="AQ49" s="64"/>
      <c r="AR49" s="64"/>
      <c r="AS49" s="64"/>
      <c r="AT49" s="64"/>
      <c r="AU49" s="64"/>
      <c r="AV49" s="64"/>
      <c r="AW49" s="64"/>
    </row>
    <row r="50" spans="1:49" x14ac:dyDescent="0.25">
      <c r="A50" s="64"/>
      <c r="B50" s="64"/>
      <c r="C50" s="64"/>
      <c r="D50" s="64"/>
      <c r="E50" s="64"/>
      <c r="F50" s="64"/>
      <c r="G50" s="64"/>
      <c r="H50" s="64"/>
      <c r="I50" s="64"/>
      <c r="J50" s="64"/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4"/>
      <c r="AV50" s="64"/>
      <c r="AW50" s="64"/>
    </row>
    <row r="51" spans="1:49" x14ac:dyDescent="0.25">
      <c r="A51" s="64"/>
      <c r="B51" s="64"/>
      <c r="C51" s="64"/>
      <c r="D51" s="64"/>
      <c r="E51" s="64"/>
      <c r="F51" s="64"/>
      <c r="G51" s="64"/>
      <c r="H51" s="64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4"/>
      <c r="AN51" s="64"/>
      <c r="AO51" s="64"/>
      <c r="AP51" s="64"/>
      <c r="AQ51" s="64"/>
      <c r="AR51" s="64"/>
      <c r="AS51" s="64"/>
      <c r="AT51" s="64"/>
      <c r="AU51" s="64"/>
      <c r="AV51" s="64"/>
      <c r="AW51" s="64"/>
    </row>
    <row r="52" spans="1:49" x14ac:dyDescent="0.25">
      <c r="A52" s="64"/>
      <c r="B52" s="64"/>
      <c r="C52" s="64"/>
      <c r="D52" s="64"/>
      <c r="E52" s="64"/>
      <c r="F52" s="64"/>
      <c r="G52" s="64"/>
      <c r="H52" s="64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4"/>
      <c r="AV52" s="64"/>
      <c r="AW52" s="64"/>
    </row>
    <row r="53" spans="1:49" x14ac:dyDescent="0.25">
      <c r="A53" s="64"/>
      <c r="B53" s="64"/>
      <c r="C53" s="64"/>
      <c r="D53" s="64"/>
      <c r="E53" s="64"/>
      <c r="F53" s="64"/>
      <c r="G53" s="64"/>
      <c r="H53" s="64"/>
      <c r="I53" s="64"/>
      <c r="J53" s="64"/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4"/>
      <c r="AN53" s="64"/>
      <c r="AO53" s="64"/>
      <c r="AP53" s="64"/>
      <c r="AQ53" s="64"/>
      <c r="AR53" s="64"/>
      <c r="AS53" s="64"/>
      <c r="AT53" s="64"/>
      <c r="AU53" s="64"/>
      <c r="AV53" s="64"/>
      <c r="AW53" s="64"/>
    </row>
    <row r="54" spans="1:49" x14ac:dyDescent="0.25">
      <c r="AV54" s="64"/>
      <c r="AW54" s="64"/>
    </row>
  </sheetData>
  <mergeCells count="1">
    <mergeCell ref="AC12:AD12"/>
  </mergeCells>
  <dataValidations count="2">
    <dataValidation type="list" allowBlank="1" showInputMessage="1" showErrorMessage="1" sqref="AH51">
      <formula1>$BB$11:$BB$12</formula1>
    </dataValidation>
    <dataValidation type="list" allowBlank="1" showInputMessage="1" showErrorMessage="1" sqref="AE12">
      <formula1>$BB$11:$BB$21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AT">
                <anchor moveWithCells="1" sizeWithCells="1">
                  <from>
                    <xdr:col>36</xdr:col>
                    <xdr:colOff>19050</xdr:colOff>
                    <xdr:row>11</xdr:row>
                    <xdr:rowOff>0</xdr:rowOff>
                  </from>
                  <to>
                    <xdr:col>37</xdr:col>
                    <xdr:colOff>9525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_xludf.T">
                <anchor moveWithCells="1" sizeWithCells="1">
                  <from>
                    <xdr:col>32</xdr:col>
                    <xdr:colOff>600075</xdr:colOff>
                    <xdr:row>11</xdr:row>
                    <xdr:rowOff>9525</xdr:rowOff>
                  </from>
                  <to>
                    <xdr:col>33</xdr:col>
                    <xdr:colOff>590550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utton 9">
              <controlPr defaultSize="0" print="0" autoFill="0" autoPict="0" macro="[0]!data">
                <anchor moveWithCells="1" sizeWithCells="1">
                  <from>
                    <xdr:col>39</xdr:col>
                    <xdr:colOff>47625</xdr:colOff>
                    <xdr:row>11</xdr:row>
                    <xdr:rowOff>47625</xdr:rowOff>
                  </from>
                  <to>
                    <xdr:col>40</xdr:col>
                    <xdr:colOff>247650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T100"/>
  <sheetViews>
    <sheetView zoomScale="70" zoomScaleNormal="70" workbookViewId="0">
      <selection activeCell="O6" sqref="O6"/>
    </sheetView>
  </sheetViews>
  <sheetFormatPr defaultRowHeight="15" x14ac:dyDescent="0.25"/>
  <cols>
    <col min="2" max="2" width="41" customWidth="1"/>
    <col min="3" max="3" width="27.85546875" customWidth="1"/>
    <col min="4" max="4" width="33.42578125" hidden="1" customWidth="1"/>
    <col min="5" max="5" width="18.28515625" hidden="1" customWidth="1"/>
    <col min="6" max="6" width="17.140625" hidden="1" customWidth="1"/>
    <col min="7" max="7" width="19.28515625" hidden="1" customWidth="1"/>
    <col min="8" max="8" width="16" hidden="1" customWidth="1"/>
    <col min="9" max="9" width="17.140625" hidden="1" customWidth="1"/>
    <col min="10" max="10" width="19.28515625" hidden="1" customWidth="1"/>
    <col min="11" max="11" width="16.5703125" hidden="1" customWidth="1"/>
    <col min="12" max="12" width="24.7109375" hidden="1" customWidth="1"/>
    <col min="13" max="13" width="18.5703125" hidden="1" customWidth="1"/>
    <col min="14" max="14" width="11.85546875" hidden="1" customWidth="1"/>
    <col min="15" max="15" width="16.28515625" customWidth="1"/>
    <col min="16" max="16" width="11.5703125" hidden="1" customWidth="1"/>
    <col min="17" max="17" width="20.28515625" customWidth="1"/>
    <col min="18" max="18" width="24.28515625" customWidth="1"/>
    <col min="19" max="19" width="34.85546875" customWidth="1"/>
    <col min="20" max="20" width="36.85546875" hidden="1" customWidth="1"/>
    <col min="27" max="27" width="10" customWidth="1"/>
  </cols>
  <sheetData>
    <row r="3" spans="2:16" hidden="1" x14ac:dyDescent="0.25">
      <c r="E3" s="116" t="s">
        <v>32</v>
      </c>
      <c r="F3" s="117"/>
      <c r="G3" s="118"/>
      <c r="H3" s="116" t="s">
        <v>30</v>
      </c>
      <c r="I3" s="117"/>
      <c r="J3" s="118"/>
      <c r="O3" s="101"/>
      <c r="P3" s="101"/>
    </row>
    <row r="4" spans="2:16" ht="19.5" thickBot="1" x14ac:dyDescent="0.35">
      <c r="B4" s="23" t="s">
        <v>3</v>
      </c>
      <c r="C4" s="23" t="s">
        <v>0</v>
      </c>
      <c r="D4" s="24" t="s">
        <v>22</v>
      </c>
      <c r="E4" s="25" t="s">
        <v>29</v>
      </c>
      <c r="F4" s="23" t="s">
        <v>28</v>
      </c>
      <c r="G4" s="26" t="s">
        <v>24</v>
      </c>
      <c r="H4" s="25" t="s">
        <v>29</v>
      </c>
      <c r="I4" s="23" t="s">
        <v>28</v>
      </c>
      <c r="J4" s="26" t="s">
        <v>24</v>
      </c>
      <c r="K4" s="27" t="s">
        <v>25</v>
      </c>
      <c r="L4" s="23" t="s">
        <v>26</v>
      </c>
      <c r="M4" s="23" t="s">
        <v>27</v>
      </c>
      <c r="N4" s="23" t="s">
        <v>23</v>
      </c>
      <c r="O4" s="23" t="s">
        <v>42</v>
      </c>
      <c r="P4" s="3" t="s">
        <v>31</v>
      </c>
    </row>
    <row r="5" spans="2:16" ht="21" x14ac:dyDescent="0.35">
      <c r="B5" s="94" t="s">
        <v>5</v>
      </c>
      <c r="C5" s="66" t="s">
        <v>4</v>
      </c>
      <c r="D5" s="29" t="s">
        <v>6</v>
      </c>
      <c r="E5" s="30">
        <v>0</v>
      </c>
      <c r="F5" s="31">
        <v>0</v>
      </c>
      <c r="G5" s="32">
        <v>0</v>
      </c>
      <c r="H5" s="30">
        <v>0</v>
      </c>
      <c r="I5" s="31">
        <v>0</v>
      </c>
      <c r="J5" s="32">
        <v>0</v>
      </c>
      <c r="K5" s="119">
        <v>5</v>
      </c>
      <c r="L5" s="122">
        <v>5</v>
      </c>
      <c r="M5" s="111">
        <v>10</v>
      </c>
      <c r="N5" s="111">
        <v>5</v>
      </c>
      <c r="O5" s="33">
        <f>((E5*M5)+(F5*L5)+(G5*N5))*K5</f>
        <v>0</v>
      </c>
      <c r="P5" s="21">
        <f>((H5*M5)+(I5*L5)+(J5*N5))*L5</f>
        <v>0</v>
      </c>
    </row>
    <row r="6" spans="2:16" ht="21" x14ac:dyDescent="0.35">
      <c r="B6" s="95"/>
      <c r="C6" s="67" t="s">
        <v>2</v>
      </c>
      <c r="D6" s="5" t="s">
        <v>6</v>
      </c>
      <c r="E6" s="6">
        <v>2.5</v>
      </c>
      <c r="F6" s="7">
        <v>0</v>
      </c>
      <c r="G6" s="8">
        <v>0.5</v>
      </c>
      <c r="H6" s="6">
        <v>0</v>
      </c>
      <c r="I6" s="7">
        <v>0</v>
      </c>
      <c r="J6" s="8">
        <v>0</v>
      </c>
      <c r="K6" s="120"/>
      <c r="L6" s="123"/>
      <c r="M6" s="112"/>
      <c r="N6" s="112"/>
      <c r="O6" s="34">
        <f>((E6*M5)+(F6*L5)+(G6*N5))*K5</f>
        <v>137.5</v>
      </c>
      <c r="P6" s="22">
        <f>((H5*M6)+(I5*L6)+(J5*N6))*L5</f>
        <v>0</v>
      </c>
    </row>
    <row r="7" spans="2:16" ht="21.75" thickBot="1" x14ac:dyDescent="0.4">
      <c r="B7" s="96"/>
      <c r="C7" s="49" t="s">
        <v>47</v>
      </c>
      <c r="D7" s="62" t="s">
        <v>72</v>
      </c>
      <c r="E7" s="62">
        <f ca="1">INDIRECT("'"&amp;Maps!AE12&amp;"'!G16")</f>
        <v>3.1578947368421049</v>
      </c>
      <c r="F7" s="15">
        <f ca="1">INDIRECT("'"&amp;Maps!AE12&amp;"'!L16")</f>
        <v>15.157894736842104</v>
      </c>
      <c r="G7" s="15">
        <f ca="1">INDIRECT("'"&amp;Maps!AE12&amp;"'!H16")</f>
        <v>0.75789473684210529</v>
      </c>
      <c r="H7" s="14"/>
      <c r="I7" s="15"/>
      <c r="J7" s="16"/>
      <c r="K7" s="121"/>
      <c r="L7" s="124"/>
      <c r="M7" s="113"/>
      <c r="N7" s="113"/>
      <c r="O7" s="36">
        <f ca="1">IF(D7="NC","",((E7*M5)+(F7*L5)+(G7*N5))*K5)</f>
        <v>555.78947368421041</v>
      </c>
      <c r="P7" s="22"/>
    </row>
    <row r="8" spans="2:16" ht="21" x14ac:dyDescent="0.35">
      <c r="B8" s="129" t="s">
        <v>7</v>
      </c>
      <c r="C8" s="66" t="s">
        <v>4</v>
      </c>
      <c r="D8" s="40" t="s">
        <v>21</v>
      </c>
      <c r="E8" s="41">
        <v>2.99</v>
      </c>
      <c r="F8" s="42">
        <v>15</v>
      </c>
      <c r="G8" s="32">
        <v>0.5</v>
      </c>
      <c r="H8" s="41">
        <v>2.99</v>
      </c>
      <c r="I8" s="42">
        <v>15</v>
      </c>
      <c r="J8" s="32">
        <v>0.5</v>
      </c>
      <c r="K8" s="114">
        <v>5</v>
      </c>
      <c r="L8" s="125">
        <v>5</v>
      </c>
      <c r="M8" s="127">
        <v>10</v>
      </c>
      <c r="N8" s="127">
        <v>5</v>
      </c>
      <c r="O8" s="33">
        <f>((E8*M8)+(F8*L8)+(G8*N8))*K8</f>
        <v>537</v>
      </c>
      <c r="P8" s="21">
        <f>((H8*M8)+(I8*L8)+(J8*N8))*L8</f>
        <v>537</v>
      </c>
    </row>
    <row r="9" spans="2:16" ht="21" x14ac:dyDescent="0.35">
      <c r="B9" s="130"/>
      <c r="C9" s="67" t="s">
        <v>2</v>
      </c>
      <c r="D9" s="5" t="s">
        <v>6</v>
      </c>
      <c r="E9" s="6">
        <v>2.5</v>
      </c>
      <c r="F9" s="7">
        <v>0</v>
      </c>
      <c r="G9" s="8">
        <v>0.5</v>
      </c>
      <c r="H9" s="6">
        <v>0</v>
      </c>
      <c r="I9" s="7">
        <v>0</v>
      </c>
      <c r="J9" s="8">
        <v>0</v>
      </c>
      <c r="K9" s="103"/>
      <c r="L9" s="106"/>
      <c r="M9" s="109"/>
      <c r="N9" s="109"/>
      <c r="O9" s="34">
        <f>((E9*M8)+(F9*L8)+(G9*N8))*K8</f>
        <v>137.5</v>
      </c>
      <c r="P9" s="22">
        <f>((H8*M9)+(I8*L9)+(J8*N9))*L8</f>
        <v>0</v>
      </c>
    </row>
    <row r="10" spans="2:16" ht="21.75" thickBot="1" x14ac:dyDescent="0.4">
      <c r="B10" s="131"/>
      <c r="C10" s="49" t="s">
        <v>47</v>
      </c>
      <c r="D10" s="62" t="str">
        <f ca="1">INDIRECT("'"&amp;Maps!AE12&amp;"'!M17")</f>
        <v>C</v>
      </c>
      <c r="E10" s="62">
        <f ca="1">INDIRECT("'"&amp;Maps!AE12&amp;"'!G17")</f>
        <v>1.368421052631579</v>
      </c>
      <c r="F10" s="15">
        <f ca="1">INDIRECT("'"&amp;Maps!AE12&amp;"'!L17")</f>
        <v>6.9473684210526319</v>
      </c>
      <c r="G10" s="15">
        <f ca="1">INDIRECT("'"&amp;Maps!AE12&amp;"'!H17")</f>
        <v>0.37894736842105264</v>
      </c>
      <c r="H10" s="14"/>
      <c r="I10" s="15"/>
      <c r="J10" s="16"/>
      <c r="K10" s="115"/>
      <c r="L10" s="126"/>
      <c r="M10" s="128"/>
      <c r="N10" s="128"/>
      <c r="O10" s="36">
        <f ca="1">IF(D10="NC","",((E10*M8)+(F10*L8)+(G10*N8))*K8)</f>
        <v>251.57894736842104</v>
      </c>
      <c r="P10" s="22"/>
    </row>
    <row r="11" spans="2:16" ht="21" x14ac:dyDescent="0.35">
      <c r="B11" s="94" t="s">
        <v>8</v>
      </c>
      <c r="C11" s="68" t="s">
        <v>4</v>
      </c>
      <c r="D11" s="37" t="s">
        <v>6</v>
      </c>
      <c r="E11" s="38">
        <v>0</v>
      </c>
      <c r="F11" s="39">
        <v>0</v>
      </c>
      <c r="G11" s="28">
        <v>0</v>
      </c>
      <c r="H11" s="38">
        <v>0</v>
      </c>
      <c r="I11" s="39">
        <v>0</v>
      </c>
      <c r="J11" s="28">
        <v>0</v>
      </c>
      <c r="K11" s="103">
        <v>5</v>
      </c>
      <c r="L11" s="106">
        <v>5</v>
      </c>
      <c r="M11" s="109">
        <v>10</v>
      </c>
      <c r="N11" s="109">
        <v>5</v>
      </c>
      <c r="O11" s="33">
        <f>((E11*M11)+(F11*L11)+(G11*N11))*K11</f>
        <v>0</v>
      </c>
      <c r="P11" s="9">
        <f>((H11*M11)+(I11*L11)+(J11*N11))*L11</f>
        <v>0</v>
      </c>
    </row>
    <row r="12" spans="2:16" ht="21" x14ac:dyDescent="0.35">
      <c r="B12" s="95"/>
      <c r="C12" s="67" t="s">
        <v>2</v>
      </c>
      <c r="D12" s="5" t="s">
        <v>6</v>
      </c>
      <c r="E12" s="6">
        <v>2.5</v>
      </c>
      <c r="F12" s="7">
        <v>0</v>
      </c>
      <c r="G12" s="8">
        <v>0.5</v>
      </c>
      <c r="H12" s="6">
        <v>0</v>
      </c>
      <c r="I12" s="7">
        <v>0</v>
      </c>
      <c r="J12" s="8">
        <v>0</v>
      </c>
      <c r="K12" s="103"/>
      <c r="L12" s="106"/>
      <c r="M12" s="109"/>
      <c r="N12" s="109"/>
      <c r="O12" s="34">
        <f>((E12*M11)+(F12*L11)+(G12*N11))*K11</f>
        <v>137.5</v>
      </c>
      <c r="P12" s="11">
        <f>((H11*M12)+(I11*L12)+(J11*N12))*L11</f>
        <v>0</v>
      </c>
    </row>
    <row r="13" spans="2:16" ht="21.75" thickBot="1" x14ac:dyDescent="0.4">
      <c r="B13" s="96"/>
      <c r="C13" s="49" t="s">
        <v>47</v>
      </c>
      <c r="D13" s="62" t="str">
        <f ca="1">INDIRECT("'"&amp;Maps!AE12&amp;"'!M18")</f>
        <v>C</v>
      </c>
      <c r="E13" s="62">
        <f ca="1">INDIRECT("'"&amp;Maps!AE12&amp;"'!G18")</f>
        <v>3.1578947368421049</v>
      </c>
      <c r="F13" s="47">
        <f ca="1">INDIRECT("'"&amp;Maps!AE12&amp;"'!L18")</f>
        <v>15.157894736842104</v>
      </c>
      <c r="G13" s="15">
        <f ca="1">INDIRECT("'"&amp;Maps!AE12&amp;"'!H18")</f>
        <v>0.75789473684210529</v>
      </c>
      <c r="H13" s="6"/>
      <c r="I13" s="7"/>
      <c r="J13" s="8"/>
      <c r="K13" s="104"/>
      <c r="L13" s="107"/>
      <c r="M13" s="110"/>
      <c r="N13" s="110"/>
      <c r="O13" s="36">
        <f ca="1">IF(D13="NC","",((E13*M11)+(F13*L11)+(G13*N11))*K11)</f>
        <v>555.78947368421041</v>
      </c>
      <c r="P13" s="11"/>
    </row>
    <row r="14" spans="2:16" ht="21" x14ac:dyDescent="0.35">
      <c r="B14" s="129" t="s">
        <v>9</v>
      </c>
      <c r="C14" s="67" t="s">
        <v>4</v>
      </c>
      <c r="D14" s="5" t="s">
        <v>6</v>
      </c>
      <c r="E14" s="13">
        <v>0</v>
      </c>
      <c r="F14" s="10">
        <v>0</v>
      </c>
      <c r="G14" s="8">
        <v>0</v>
      </c>
      <c r="H14" s="13">
        <v>0</v>
      </c>
      <c r="I14" s="10">
        <v>0</v>
      </c>
      <c r="J14" s="8">
        <v>0</v>
      </c>
      <c r="K14" s="102">
        <v>5</v>
      </c>
      <c r="L14" s="105">
        <v>5</v>
      </c>
      <c r="M14" s="108">
        <v>10</v>
      </c>
      <c r="N14" s="108">
        <v>5</v>
      </c>
      <c r="O14" s="33">
        <f>((E14*M14)+(F14*L14)+(G14*N14))*K14</f>
        <v>0</v>
      </c>
      <c r="P14" s="9">
        <f>((H14*M14)+(I14*L14)+(J14*N14))*L14</f>
        <v>0</v>
      </c>
    </row>
    <row r="15" spans="2:16" ht="21" x14ac:dyDescent="0.35">
      <c r="B15" s="130"/>
      <c r="C15" s="67" t="s">
        <v>2</v>
      </c>
      <c r="D15" s="5" t="s">
        <v>6</v>
      </c>
      <c r="E15" s="6">
        <v>2.5</v>
      </c>
      <c r="F15" s="7">
        <v>0</v>
      </c>
      <c r="G15" s="8">
        <v>0.5</v>
      </c>
      <c r="H15" s="6">
        <v>0</v>
      </c>
      <c r="I15" s="7">
        <v>0</v>
      </c>
      <c r="J15" s="8">
        <v>0</v>
      </c>
      <c r="K15" s="103"/>
      <c r="L15" s="106"/>
      <c r="M15" s="109"/>
      <c r="N15" s="109"/>
      <c r="O15" s="34">
        <f>((E15*M14)+(F15*L14)+(G15*N14))*K14</f>
        <v>137.5</v>
      </c>
      <c r="P15" s="11">
        <f>((H14*M15)+(I14*L15)+(J14*N15))*L14</f>
        <v>0</v>
      </c>
    </row>
    <row r="16" spans="2:16" ht="21.75" thickBot="1" x14ac:dyDescent="0.4">
      <c r="B16" s="131"/>
      <c r="C16" s="49" t="s">
        <v>47</v>
      </c>
      <c r="D16" s="62" t="str">
        <f ca="1">INDIRECT("'"&amp;Maps!AE12&amp;"'!M19")</f>
        <v>C</v>
      </c>
      <c r="E16" s="62">
        <f ca="1">INDIRECT("'"&amp;Maps!AE12&amp;"'!G19")</f>
        <v>1.368421052631579</v>
      </c>
      <c r="F16" s="47">
        <f ca="1">INDIRECT("'"&amp;Maps!AE12&amp;"'!L19")</f>
        <v>6.9473684210526319</v>
      </c>
      <c r="G16" s="15">
        <f ca="1">INDIRECT("'"&amp;Maps!AE12&amp;"'!H19")</f>
        <v>0.37894736842105264</v>
      </c>
      <c r="H16" s="6"/>
      <c r="I16" s="7"/>
      <c r="J16" s="8"/>
      <c r="K16" s="104"/>
      <c r="L16" s="107"/>
      <c r="M16" s="110"/>
      <c r="N16" s="110"/>
      <c r="O16" s="36">
        <f ca="1">IF(D16="NC","",((E16*M14)+(F16*L14)+(G16*N14))*K14)</f>
        <v>251.57894736842104</v>
      </c>
      <c r="P16" s="11"/>
    </row>
    <row r="17" spans="2:16" ht="21" x14ac:dyDescent="0.35">
      <c r="B17" s="94" t="s">
        <v>10</v>
      </c>
      <c r="C17" s="67" t="s">
        <v>4</v>
      </c>
      <c r="D17" s="12" t="s">
        <v>21</v>
      </c>
      <c r="E17" s="13">
        <v>2.99</v>
      </c>
      <c r="F17" s="10">
        <v>15</v>
      </c>
      <c r="G17" s="8">
        <v>0.5</v>
      </c>
      <c r="H17" s="13">
        <v>2.99</v>
      </c>
      <c r="I17" s="10">
        <v>15</v>
      </c>
      <c r="J17" s="8">
        <v>0.5</v>
      </c>
      <c r="K17" s="102">
        <v>5</v>
      </c>
      <c r="L17" s="105">
        <v>5</v>
      </c>
      <c r="M17" s="108">
        <v>10</v>
      </c>
      <c r="N17" s="108">
        <v>5</v>
      </c>
      <c r="O17" s="33">
        <f>((E17*M17)+(F17*L17)+(G17*N17))*K17</f>
        <v>537</v>
      </c>
      <c r="P17" s="9">
        <f>((H17*M17)+(I17*L17)+(J17*N17))*L17</f>
        <v>537</v>
      </c>
    </row>
    <row r="18" spans="2:16" ht="21" x14ac:dyDescent="0.35">
      <c r="B18" s="95"/>
      <c r="C18" s="67" t="s">
        <v>2</v>
      </c>
      <c r="D18" s="5" t="s">
        <v>6</v>
      </c>
      <c r="E18" s="6">
        <v>2.5</v>
      </c>
      <c r="F18" s="7">
        <v>0</v>
      </c>
      <c r="G18" s="8">
        <v>0.5</v>
      </c>
      <c r="H18" s="6">
        <v>0</v>
      </c>
      <c r="I18" s="7">
        <v>0</v>
      </c>
      <c r="J18" s="8">
        <v>0</v>
      </c>
      <c r="K18" s="103"/>
      <c r="L18" s="106"/>
      <c r="M18" s="109"/>
      <c r="N18" s="109"/>
      <c r="O18" s="34">
        <f>((E18*M17)+(F18*L17)+(G18*N17))*K17</f>
        <v>137.5</v>
      </c>
      <c r="P18" s="11">
        <f>((H17*M18)+(I17*L18)+(J17*N18))*L17</f>
        <v>0</v>
      </c>
    </row>
    <row r="19" spans="2:16" ht="21.75" thickBot="1" x14ac:dyDescent="0.4">
      <c r="B19" s="96"/>
      <c r="C19" s="49" t="s">
        <v>47</v>
      </c>
      <c r="D19" s="62" t="str">
        <f ca="1">INDIRECT("'"&amp;Maps!AE12&amp;"'!M20")</f>
        <v>C</v>
      </c>
      <c r="E19" s="62">
        <f ca="1">INDIRECT("'"&amp;Maps!AE12&amp;"'!G20")</f>
        <v>3.1578947368421049</v>
      </c>
      <c r="F19" s="47">
        <f ca="1">INDIRECT("'"&amp;Maps!AE12&amp;"'!L20")</f>
        <v>15.157894736842104</v>
      </c>
      <c r="G19" s="15">
        <f ca="1">INDIRECT("'"&amp;Maps!AE12&amp;"'!H20")</f>
        <v>0.75789473684210529</v>
      </c>
      <c r="H19" s="6"/>
      <c r="I19" s="7"/>
      <c r="J19" s="8"/>
      <c r="K19" s="104"/>
      <c r="L19" s="107"/>
      <c r="M19" s="110"/>
      <c r="N19" s="110"/>
      <c r="O19" s="36">
        <f ca="1">IF(D19="NC","",((E19*M17)+(F19*L17)+(G19*N17))*K17)</f>
        <v>555.78947368421041</v>
      </c>
      <c r="P19" s="11"/>
    </row>
    <row r="20" spans="2:16" ht="21" x14ac:dyDescent="0.35">
      <c r="B20" s="129" t="s">
        <v>11</v>
      </c>
      <c r="C20" s="67" t="s">
        <v>4</v>
      </c>
      <c r="D20" s="5" t="s">
        <v>6</v>
      </c>
      <c r="E20" s="13">
        <v>0</v>
      </c>
      <c r="F20" s="10">
        <v>0</v>
      </c>
      <c r="G20" s="8">
        <v>0</v>
      </c>
      <c r="H20" s="13">
        <v>0</v>
      </c>
      <c r="I20" s="10">
        <v>0</v>
      </c>
      <c r="J20" s="8">
        <v>0</v>
      </c>
      <c r="K20" s="102">
        <v>5</v>
      </c>
      <c r="L20" s="105">
        <v>5</v>
      </c>
      <c r="M20" s="108">
        <v>10</v>
      </c>
      <c r="N20" s="108">
        <v>5</v>
      </c>
      <c r="O20" s="33">
        <f>((E20*M20)+(F20*L20)+(G20*N20))*K20</f>
        <v>0</v>
      </c>
      <c r="P20" s="9">
        <f>((H20*M20)+(I20*L20)+(J20*N20))*L20</f>
        <v>0</v>
      </c>
    </row>
    <row r="21" spans="2:16" ht="21" x14ac:dyDescent="0.35">
      <c r="B21" s="130"/>
      <c r="C21" s="67" t="s">
        <v>2</v>
      </c>
      <c r="D21" s="5" t="s">
        <v>6</v>
      </c>
      <c r="E21" s="6">
        <v>2.5</v>
      </c>
      <c r="F21" s="7">
        <v>0</v>
      </c>
      <c r="G21" s="8">
        <v>0.5</v>
      </c>
      <c r="H21" s="6">
        <v>0</v>
      </c>
      <c r="I21" s="7">
        <v>0</v>
      </c>
      <c r="J21" s="8">
        <v>0</v>
      </c>
      <c r="K21" s="103"/>
      <c r="L21" s="106"/>
      <c r="M21" s="109"/>
      <c r="N21" s="109"/>
      <c r="O21" s="34">
        <f>((E21*M20)+(F21*L20)+(G21*N20))*K20</f>
        <v>137.5</v>
      </c>
      <c r="P21" s="11">
        <f>((H20*M21)+(I20*L21)+(J20*N21))*L20</f>
        <v>0</v>
      </c>
    </row>
    <row r="22" spans="2:16" ht="21.75" thickBot="1" x14ac:dyDescent="0.4">
      <c r="B22" s="131"/>
      <c r="C22" s="49" t="s">
        <v>47</v>
      </c>
      <c r="D22" s="62" t="str">
        <f ca="1">INDIRECT("'"&amp;Maps!AE12&amp;"'!M21")</f>
        <v>C</v>
      </c>
      <c r="E22" s="62">
        <f ca="1">INDIRECT("'"&amp;Maps!AE12&amp;"'!G21")</f>
        <v>3.1578947368421049</v>
      </c>
      <c r="F22" s="47">
        <f ca="1">INDIRECT("'"&amp;Maps!AE12&amp;"'!L21")</f>
        <v>15.157894736842104</v>
      </c>
      <c r="G22" s="15">
        <f ca="1">INDIRECT("'"&amp;Maps!AE12&amp;"'!H21")</f>
        <v>0.75789473684210529</v>
      </c>
      <c r="H22" s="6"/>
      <c r="I22" s="7"/>
      <c r="J22" s="8"/>
      <c r="K22" s="104"/>
      <c r="L22" s="107"/>
      <c r="M22" s="110"/>
      <c r="N22" s="110"/>
      <c r="O22" s="36">
        <f ca="1">IF(D22="NC","",((E22*M20)+(F22*L20)+(G22*N20))*K20)</f>
        <v>555.78947368421041</v>
      </c>
      <c r="P22" s="11"/>
    </row>
    <row r="23" spans="2:16" ht="21" x14ac:dyDescent="0.35">
      <c r="B23" s="94" t="s">
        <v>67</v>
      </c>
      <c r="C23" s="67" t="s">
        <v>4</v>
      </c>
      <c r="D23" s="12" t="s">
        <v>21</v>
      </c>
      <c r="E23" s="13">
        <v>2.99</v>
      </c>
      <c r="F23" s="10">
        <v>15</v>
      </c>
      <c r="G23" s="8">
        <v>0.5</v>
      </c>
      <c r="H23" s="13">
        <v>2.99</v>
      </c>
      <c r="I23" s="10">
        <v>15</v>
      </c>
      <c r="J23" s="8">
        <v>0.5</v>
      </c>
      <c r="K23" s="102">
        <v>5</v>
      </c>
      <c r="L23" s="105">
        <v>5</v>
      </c>
      <c r="M23" s="108">
        <v>10</v>
      </c>
      <c r="N23" s="108">
        <v>5</v>
      </c>
      <c r="O23" s="33">
        <f>((E23*M23)+(F23*L23)+(G23*N23))*K23</f>
        <v>537</v>
      </c>
      <c r="P23" s="9">
        <f>((H23*M23)+(I23*L23)+(J23*N23))*L23</f>
        <v>537</v>
      </c>
    </row>
    <row r="24" spans="2:16" ht="21" x14ac:dyDescent="0.35">
      <c r="B24" s="95"/>
      <c r="C24" s="67" t="s">
        <v>2</v>
      </c>
      <c r="D24" s="5" t="s">
        <v>6</v>
      </c>
      <c r="E24" s="6">
        <v>2.5</v>
      </c>
      <c r="F24" s="7">
        <v>0</v>
      </c>
      <c r="G24" s="8">
        <v>0.5</v>
      </c>
      <c r="H24" s="6">
        <v>0</v>
      </c>
      <c r="I24" s="7">
        <v>0</v>
      </c>
      <c r="J24" s="8">
        <v>0</v>
      </c>
      <c r="K24" s="103"/>
      <c r="L24" s="106"/>
      <c r="M24" s="109"/>
      <c r="N24" s="109"/>
      <c r="O24" s="34">
        <f>((E24*M23)+(F24*L23)+(G24*N23))*K23</f>
        <v>137.5</v>
      </c>
      <c r="P24" s="11">
        <f>((H23*M24)+(I23*L24)+(J23*N24))*L23</f>
        <v>0</v>
      </c>
    </row>
    <row r="25" spans="2:16" ht="21.75" thickBot="1" x14ac:dyDescent="0.4">
      <c r="B25" s="96"/>
      <c r="C25" s="49" t="s">
        <v>47</v>
      </c>
      <c r="D25" s="62" t="str">
        <f ca="1">INDIRECT("'"&amp;Maps!AE12&amp;"'!M22")</f>
        <v>C</v>
      </c>
      <c r="E25" s="62">
        <f ca="1">INDIRECT("'"&amp;Maps!AE12&amp;"'!G22")</f>
        <v>3.1578947368421049</v>
      </c>
      <c r="F25" s="47">
        <f ca="1">INDIRECT("'"&amp;Maps!AE12&amp;"'!L22")</f>
        <v>15.157894736842104</v>
      </c>
      <c r="G25" s="15">
        <f ca="1">INDIRECT("'"&amp;Maps!AE12&amp;"'!H22")</f>
        <v>0.75789473684210529</v>
      </c>
      <c r="H25" s="6"/>
      <c r="I25" s="7"/>
      <c r="J25" s="8"/>
      <c r="K25" s="104"/>
      <c r="L25" s="107"/>
      <c r="M25" s="110"/>
      <c r="N25" s="110"/>
      <c r="O25" s="36">
        <f ca="1">IF(D25="NC","",((E25*M23)+(F25*L23)+(G25*N23))*K23)</f>
        <v>555.78947368421041</v>
      </c>
      <c r="P25" s="11"/>
    </row>
    <row r="26" spans="2:16" ht="21" x14ac:dyDescent="0.35">
      <c r="B26" s="129" t="s">
        <v>12</v>
      </c>
      <c r="C26" s="67" t="s">
        <v>4</v>
      </c>
      <c r="D26" s="5" t="s">
        <v>6</v>
      </c>
      <c r="E26" s="13">
        <v>0</v>
      </c>
      <c r="F26" s="10">
        <v>0</v>
      </c>
      <c r="G26" s="8">
        <v>0</v>
      </c>
      <c r="H26" s="13">
        <v>0</v>
      </c>
      <c r="I26" s="10">
        <v>0</v>
      </c>
      <c r="J26" s="8">
        <v>0</v>
      </c>
      <c r="K26" s="102">
        <v>5</v>
      </c>
      <c r="L26" s="105">
        <v>5</v>
      </c>
      <c r="M26" s="108">
        <v>10</v>
      </c>
      <c r="N26" s="108">
        <v>5</v>
      </c>
      <c r="O26" s="33">
        <f>((E26*M26)+(F26*L26)+(G26*N26))*K26</f>
        <v>0</v>
      </c>
      <c r="P26" s="9">
        <f>((H26*M26)+(I26*L26)+(J26*N26))*L26</f>
        <v>0</v>
      </c>
    </row>
    <row r="27" spans="2:16" ht="21" x14ac:dyDescent="0.35">
      <c r="B27" s="130"/>
      <c r="C27" s="67" t="s">
        <v>2</v>
      </c>
      <c r="D27" s="5" t="s">
        <v>6</v>
      </c>
      <c r="E27" s="6">
        <v>2.5</v>
      </c>
      <c r="F27" s="7">
        <v>0</v>
      </c>
      <c r="G27" s="8">
        <v>0.5</v>
      </c>
      <c r="H27" s="6">
        <v>0</v>
      </c>
      <c r="I27" s="7">
        <v>0</v>
      </c>
      <c r="J27" s="8">
        <v>0</v>
      </c>
      <c r="K27" s="103"/>
      <c r="L27" s="106"/>
      <c r="M27" s="109"/>
      <c r="N27" s="109"/>
      <c r="O27" s="34">
        <f>((E27*M26)+(F27*L26)+(G27*N26))*K26</f>
        <v>137.5</v>
      </c>
      <c r="P27" s="11">
        <f>((H26*M27)+(I26*L27)+(J26*N27))*L26</f>
        <v>0</v>
      </c>
    </row>
    <row r="28" spans="2:16" ht="21.75" thickBot="1" x14ac:dyDescent="0.4">
      <c r="B28" s="131"/>
      <c r="C28" s="49" t="s">
        <v>47</v>
      </c>
      <c r="D28" s="62" t="str">
        <f ca="1">INDIRECT("'"&amp;Maps!AE12&amp;"'!M23")</f>
        <v>C</v>
      </c>
      <c r="E28" s="62">
        <f ca="1">INDIRECT("'"&amp;Maps!AE12&amp;"'!G23")</f>
        <v>1.368421052631579</v>
      </c>
      <c r="F28" s="47">
        <f ca="1">INDIRECT("'"&amp;Maps!AE12&amp;"'!L23")</f>
        <v>6.9473684210526319</v>
      </c>
      <c r="G28" s="15">
        <f ca="1">INDIRECT("'"&amp;Maps!AE12&amp;"'!H23")</f>
        <v>0.37894736842105264</v>
      </c>
      <c r="H28" s="6"/>
      <c r="I28" s="7"/>
      <c r="J28" s="8"/>
      <c r="K28" s="104"/>
      <c r="L28" s="107"/>
      <c r="M28" s="110"/>
      <c r="N28" s="110"/>
      <c r="O28" s="36">
        <f ca="1">IF(D28="NC","",((E28*M26)+(F28*L26)+(G28*N26))*K26)</f>
        <v>251.57894736842104</v>
      </c>
      <c r="P28" s="11"/>
    </row>
    <row r="29" spans="2:16" ht="21" x14ac:dyDescent="0.35">
      <c r="B29" s="94" t="s">
        <v>13</v>
      </c>
      <c r="C29" s="67" t="s">
        <v>4</v>
      </c>
      <c r="D29" s="12" t="s">
        <v>21</v>
      </c>
      <c r="E29" s="13">
        <v>2.99</v>
      </c>
      <c r="F29" s="10">
        <v>15</v>
      </c>
      <c r="G29" s="8">
        <v>0.5</v>
      </c>
      <c r="H29" s="13">
        <v>2.99</v>
      </c>
      <c r="I29" s="10">
        <v>15</v>
      </c>
      <c r="J29" s="8">
        <v>0.5</v>
      </c>
      <c r="K29" s="102">
        <v>5</v>
      </c>
      <c r="L29" s="105">
        <v>5</v>
      </c>
      <c r="M29" s="108">
        <v>10</v>
      </c>
      <c r="N29" s="108">
        <v>5</v>
      </c>
      <c r="O29" s="33">
        <f>((E29*M29)+(F29*L29)+(G29*N29))*K29</f>
        <v>537</v>
      </c>
      <c r="P29" s="9">
        <f>((H29*M29)+(I29*L29)+(J29*N29))*L29</f>
        <v>537</v>
      </c>
    </row>
    <row r="30" spans="2:16" ht="21" x14ac:dyDescent="0.35">
      <c r="B30" s="95"/>
      <c r="C30" s="67" t="s">
        <v>2</v>
      </c>
      <c r="D30" s="5" t="s">
        <v>6</v>
      </c>
      <c r="E30" s="6">
        <v>2.5</v>
      </c>
      <c r="F30" s="7">
        <v>0</v>
      </c>
      <c r="G30" s="8">
        <v>0.5</v>
      </c>
      <c r="H30" s="6">
        <v>0</v>
      </c>
      <c r="I30" s="7">
        <v>0</v>
      </c>
      <c r="J30" s="8">
        <v>0</v>
      </c>
      <c r="K30" s="103"/>
      <c r="L30" s="106"/>
      <c r="M30" s="109"/>
      <c r="N30" s="109"/>
      <c r="O30" s="34">
        <f>((E30*M29)+(F30*L29)+(G30*N29))*K29</f>
        <v>137.5</v>
      </c>
      <c r="P30" s="11">
        <f>((H29*M30)+(I29*L30)+(J29*N30))*L29</f>
        <v>0</v>
      </c>
    </row>
    <row r="31" spans="2:16" ht="21.75" thickBot="1" x14ac:dyDescent="0.4">
      <c r="B31" s="96"/>
      <c r="C31" s="49" t="s">
        <v>47</v>
      </c>
      <c r="D31" s="62" t="str">
        <f ca="1">INDIRECT("'"&amp;Maps!AE12&amp;"'!M24")</f>
        <v>C</v>
      </c>
      <c r="E31" s="62">
        <f ca="1">INDIRECT("'"&amp;Maps!AE12&amp;"'!G24")</f>
        <v>1.368421052631579</v>
      </c>
      <c r="F31" s="47">
        <f ca="1">INDIRECT("'"&amp;Maps!AE12&amp;"'!L24")</f>
        <v>6.9473684210526319</v>
      </c>
      <c r="G31" s="15">
        <f ca="1">INDIRECT("'"&amp;Maps!AE12&amp;"'!H24")</f>
        <v>0.37894736842105264</v>
      </c>
      <c r="H31" s="6"/>
      <c r="I31" s="7"/>
      <c r="J31" s="8"/>
      <c r="K31" s="104"/>
      <c r="L31" s="107"/>
      <c r="M31" s="110"/>
      <c r="N31" s="110"/>
      <c r="O31" s="34">
        <f ca="1">IF(D31="NC","",((E31*M29)+(F31*L29)+(G31*N29))*K29)</f>
        <v>251.57894736842104</v>
      </c>
      <c r="P31" s="11"/>
    </row>
    <row r="32" spans="2:16" ht="21" x14ac:dyDescent="0.35">
      <c r="B32" s="129" t="s">
        <v>14</v>
      </c>
      <c r="C32" s="67" t="s">
        <v>4</v>
      </c>
      <c r="D32" s="12" t="s">
        <v>21</v>
      </c>
      <c r="E32" s="13">
        <v>2.99</v>
      </c>
      <c r="F32" s="10">
        <v>15</v>
      </c>
      <c r="G32" s="8">
        <v>0.5</v>
      </c>
      <c r="H32" s="13">
        <v>2.99</v>
      </c>
      <c r="I32" s="10">
        <v>15</v>
      </c>
      <c r="J32" s="8">
        <v>0.5</v>
      </c>
      <c r="K32" s="102">
        <v>5</v>
      </c>
      <c r="L32" s="105">
        <v>5</v>
      </c>
      <c r="M32" s="108">
        <v>10</v>
      </c>
      <c r="N32" s="108">
        <v>5</v>
      </c>
      <c r="O32" s="33">
        <f>((E32*M32)+(F32*L32)+(G32*N32))*K32</f>
        <v>537</v>
      </c>
      <c r="P32" s="9">
        <f>((H32*M32)+(I32*L32)+(J32*N32))*L32</f>
        <v>537</v>
      </c>
    </row>
    <row r="33" spans="2:18" ht="21" x14ac:dyDescent="0.35">
      <c r="B33" s="130"/>
      <c r="C33" s="67" t="s">
        <v>2</v>
      </c>
      <c r="D33" s="5" t="s">
        <v>6</v>
      </c>
      <c r="E33" s="6">
        <v>2.5</v>
      </c>
      <c r="F33" s="7">
        <v>0</v>
      </c>
      <c r="G33" s="8">
        <v>0.5</v>
      </c>
      <c r="H33" s="6">
        <v>0</v>
      </c>
      <c r="I33" s="7">
        <v>0</v>
      </c>
      <c r="J33" s="8">
        <v>0</v>
      </c>
      <c r="K33" s="103"/>
      <c r="L33" s="106"/>
      <c r="M33" s="109"/>
      <c r="N33" s="109"/>
      <c r="O33" s="34">
        <f>((E33*M32)+(F33*L32)+(G33*N32))*K32</f>
        <v>137.5</v>
      </c>
      <c r="P33" s="11">
        <f>((H32*M33)+(I32*L33)+(J32*N33))*L32</f>
        <v>0</v>
      </c>
    </row>
    <row r="34" spans="2:18" ht="21.75" thickBot="1" x14ac:dyDescent="0.4">
      <c r="B34" s="131"/>
      <c r="C34" s="49" t="s">
        <v>47</v>
      </c>
      <c r="D34" s="62" t="str">
        <f ca="1">INDIRECT("'"&amp;Maps!AE12&amp;"'!M25")</f>
        <v>C</v>
      </c>
      <c r="E34" s="62">
        <f ca="1">INDIRECT("'"&amp;Maps!AE12&amp;"'!G25")</f>
        <v>3.1578947368421049</v>
      </c>
      <c r="F34" s="47">
        <f ca="1">INDIRECT("'"&amp;Maps!AE12&amp;"'!L25")</f>
        <v>15.157894736842104</v>
      </c>
      <c r="G34" s="15">
        <f ca="1">INDIRECT("'"&amp;Maps!AE12&amp;"'!H25")</f>
        <v>0.75789473684210529</v>
      </c>
      <c r="H34" s="6"/>
      <c r="I34" s="7"/>
      <c r="J34" s="8"/>
      <c r="K34" s="104"/>
      <c r="L34" s="107"/>
      <c r="M34" s="110"/>
      <c r="N34" s="110"/>
      <c r="O34" s="34">
        <f ca="1">IF(D34="NC","",((E34*M32)+(F34*L32)+(G34*N32))*K32)</f>
        <v>555.78947368421041</v>
      </c>
      <c r="P34" s="11"/>
    </row>
    <row r="35" spans="2:18" ht="21" x14ac:dyDescent="0.35">
      <c r="B35" s="94" t="s">
        <v>15</v>
      </c>
      <c r="C35" s="67" t="s">
        <v>4</v>
      </c>
      <c r="D35" s="12" t="s">
        <v>21</v>
      </c>
      <c r="E35" s="13">
        <v>2.99</v>
      </c>
      <c r="F35" s="10">
        <v>15</v>
      </c>
      <c r="G35" s="8">
        <v>0.5</v>
      </c>
      <c r="H35" s="13">
        <v>2.99</v>
      </c>
      <c r="I35" s="10">
        <v>15</v>
      </c>
      <c r="J35" s="8">
        <v>0.5</v>
      </c>
      <c r="K35" s="102">
        <v>5</v>
      </c>
      <c r="L35" s="105">
        <v>5</v>
      </c>
      <c r="M35" s="108">
        <v>10</v>
      </c>
      <c r="N35" s="108">
        <v>5</v>
      </c>
      <c r="O35" s="33">
        <f>((E35*M35)+(F35*L35)+(G35*N35))*K35</f>
        <v>537</v>
      </c>
      <c r="P35" s="9">
        <f>((H35*M35)+(I35*L35)+(J35*N35))*L35</f>
        <v>537</v>
      </c>
    </row>
    <row r="36" spans="2:18" ht="21" x14ac:dyDescent="0.35">
      <c r="B36" s="95"/>
      <c r="C36" s="67" t="s">
        <v>2</v>
      </c>
      <c r="D36" s="5" t="s">
        <v>6</v>
      </c>
      <c r="E36" s="6">
        <v>2.5</v>
      </c>
      <c r="F36" s="7">
        <v>0</v>
      </c>
      <c r="G36" s="8">
        <v>0.5</v>
      </c>
      <c r="H36" s="6">
        <v>0</v>
      </c>
      <c r="I36" s="7">
        <v>0</v>
      </c>
      <c r="J36" s="8">
        <v>0</v>
      </c>
      <c r="K36" s="103"/>
      <c r="L36" s="106"/>
      <c r="M36" s="109"/>
      <c r="N36" s="109"/>
      <c r="O36" s="34">
        <f>((E36*M35)+(F36*L35)+(G36*N35))*K35</f>
        <v>137.5</v>
      </c>
      <c r="P36" s="11">
        <f>((H35*M36)+(I35*L36)+(J35*N36))*L35</f>
        <v>0</v>
      </c>
      <c r="Q36" s="4"/>
      <c r="R36" s="4"/>
    </row>
    <row r="37" spans="2:18" ht="21.75" thickBot="1" x14ac:dyDescent="0.4">
      <c r="B37" s="96"/>
      <c r="C37" s="49" t="s">
        <v>47</v>
      </c>
      <c r="D37" s="62" t="str">
        <f ca="1">INDIRECT("'"&amp;Maps!AE12&amp;"'!M26")</f>
        <v>C</v>
      </c>
      <c r="E37" s="62">
        <f ca="1">INDIRECT("'"&amp;Maps!AE12&amp;"'!G26")</f>
        <v>0.63157894736842102</v>
      </c>
      <c r="F37" s="47">
        <f ca="1">INDIRECT("'"&amp;Maps!AE12&amp;"'!L26")</f>
        <v>2.5263157894736841</v>
      </c>
      <c r="G37" s="15">
        <f ca="1">INDIRECT("'"&amp;Maps!AE12&amp;"'!H26")</f>
        <v>0.27368421052631581</v>
      </c>
      <c r="H37" s="6"/>
      <c r="I37" s="7"/>
      <c r="J37" s="8"/>
      <c r="K37" s="104"/>
      <c r="L37" s="107"/>
      <c r="M37" s="110"/>
      <c r="N37" s="110"/>
      <c r="O37" s="34">
        <f ca="1">IF(D37="NC","",((E37*M35)+(F37*L35)+(G37*N35))*K35)</f>
        <v>101.57894736842104</v>
      </c>
      <c r="P37" s="11"/>
      <c r="Q37" s="4"/>
      <c r="R37" s="4"/>
    </row>
    <row r="38" spans="2:18" ht="21" x14ac:dyDescent="0.35">
      <c r="B38" s="129" t="s">
        <v>16</v>
      </c>
      <c r="C38" s="67" t="s">
        <v>4</v>
      </c>
      <c r="D38" s="12" t="s">
        <v>21</v>
      </c>
      <c r="E38" s="13">
        <v>2.99</v>
      </c>
      <c r="F38" s="10">
        <v>15</v>
      </c>
      <c r="G38" s="8">
        <v>0.5</v>
      </c>
      <c r="H38" s="13">
        <v>2.99</v>
      </c>
      <c r="I38" s="10">
        <v>15</v>
      </c>
      <c r="J38" s="8">
        <v>0.5</v>
      </c>
      <c r="K38" s="102">
        <v>5</v>
      </c>
      <c r="L38" s="105">
        <v>5</v>
      </c>
      <c r="M38" s="108">
        <v>10</v>
      </c>
      <c r="N38" s="108">
        <v>5</v>
      </c>
      <c r="O38" s="33">
        <f>((E38*M38)+(F38*L38)+(G38*N38))*K38</f>
        <v>537</v>
      </c>
      <c r="P38" s="9">
        <f>((H38*M38)+(I38*L38)+(J38*N38))*L38</f>
        <v>537</v>
      </c>
    </row>
    <row r="39" spans="2:18" ht="21" x14ac:dyDescent="0.35">
      <c r="B39" s="130"/>
      <c r="C39" s="67" t="s">
        <v>2</v>
      </c>
      <c r="D39" s="5" t="s">
        <v>6</v>
      </c>
      <c r="E39" s="6">
        <v>2.5</v>
      </c>
      <c r="F39" s="7">
        <v>0</v>
      </c>
      <c r="G39" s="8">
        <v>0.5</v>
      </c>
      <c r="H39" s="6">
        <v>0</v>
      </c>
      <c r="I39" s="7">
        <v>0</v>
      </c>
      <c r="J39" s="8">
        <v>0</v>
      </c>
      <c r="K39" s="103"/>
      <c r="L39" s="106"/>
      <c r="M39" s="109"/>
      <c r="N39" s="109"/>
      <c r="O39" s="34">
        <f>((E39*M38)+(F39*L38)+(G39*N38))*K38</f>
        <v>137.5</v>
      </c>
      <c r="P39" s="11">
        <f>((H38*M39)+(I38*L39)+(J38*N39))*L38</f>
        <v>0</v>
      </c>
    </row>
    <row r="40" spans="2:18" ht="21.75" thickBot="1" x14ac:dyDescent="0.4">
      <c r="B40" s="131"/>
      <c r="C40" s="49" t="s">
        <v>47</v>
      </c>
      <c r="D40" s="62" t="str">
        <f ca="1">INDIRECT("'"&amp;Maps!AE12&amp;"'!M27")</f>
        <v>C</v>
      </c>
      <c r="E40" s="62">
        <f ca="1">INDIRECT("'"&amp;Maps!AE12&amp;"'!G27")</f>
        <v>3.1578947368421049</v>
      </c>
      <c r="F40" s="47">
        <f ca="1">INDIRECT("'"&amp;Maps!AE12&amp;"'!L27")</f>
        <v>15.157894736842104</v>
      </c>
      <c r="G40" s="15">
        <f ca="1">INDIRECT("'"&amp;Maps!AE12&amp;"'!H27")</f>
        <v>0.75789473684210529</v>
      </c>
      <c r="H40" s="6"/>
      <c r="I40" s="7"/>
      <c r="J40" s="8"/>
      <c r="K40" s="104"/>
      <c r="L40" s="107"/>
      <c r="M40" s="110"/>
      <c r="N40" s="110"/>
      <c r="O40" s="36">
        <f ca="1">IF(D40="NC","",((E40*M38)+(F40*L38)+(G40*N38))*K38)</f>
        <v>555.78947368421041</v>
      </c>
      <c r="P40" s="11"/>
    </row>
    <row r="41" spans="2:18" ht="21" x14ac:dyDescent="0.35">
      <c r="B41" s="94" t="s">
        <v>1</v>
      </c>
      <c r="C41" s="67" t="s">
        <v>4</v>
      </c>
      <c r="D41" s="5" t="s">
        <v>6</v>
      </c>
      <c r="E41" s="6">
        <v>0</v>
      </c>
      <c r="F41" s="7">
        <v>0</v>
      </c>
      <c r="G41" s="8">
        <v>0</v>
      </c>
      <c r="H41" s="6">
        <v>0</v>
      </c>
      <c r="I41" s="7">
        <v>0</v>
      </c>
      <c r="J41" s="8">
        <v>0</v>
      </c>
      <c r="K41" s="102">
        <v>5</v>
      </c>
      <c r="L41" s="105">
        <v>5</v>
      </c>
      <c r="M41" s="108">
        <v>10</v>
      </c>
      <c r="N41" s="108">
        <v>5</v>
      </c>
      <c r="O41" s="33">
        <f>((E41*M38)+(F41*L38)+(G41*N38))*K38</f>
        <v>0</v>
      </c>
      <c r="P41" s="9">
        <f>((H41*M41)+(I41*L41)+(J41*N41))*L41</f>
        <v>0</v>
      </c>
    </row>
    <row r="42" spans="2:18" ht="21" x14ac:dyDescent="0.35">
      <c r="B42" s="95"/>
      <c r="C42" s="67" t="s">
        <v>2</v>
      </c>
      <c r="D42" s="5" t="s">
        <v>6</v>
      </c>
      <c r="E42" s="6">
        <v>2.5</v>
      </c>
      <c r="F42" s="7">
        <v>0</v>
      </c>
      <c r="G42" s="8">
        <v>0.5</v>
      </c>
      <c r="H42" s="6">
        <v>0</v>
      </c>
      <c r="I42" s="7">
        <v>0</v>
      </c>
      <c r="J42" s="8">
        <v>0</v>
      </c>
      <c r="K42" s="103"/>
      <c r="L42" s="106"/>
      <c r="M42" s="109"/>
      <c r="N42" s="109"/>
      <c r="O42" s="34">
        <f>((E42*M41)+(F42*L41)+(G42*N41))*K41</f>
        <v>137.5</v>
      </c>
      <c r="P42" s="11">
        <f>((H41*M42)+(I41*L42)+(J41*N42))*L41</f>
        <v>0</v>
      </c>
    </row>
    <row r="43" spans="2:18" ht="21.75" thickBot="1" x14ac:dyDescent="0.4">
      <c r="B43" s="96"/>
      <c r="C43" s="49" t="s">
        <v>47</v>
      </c>
      <c r="D43" s="62" t="str">
        <f ca="1">INDIRECT("'"&amp;Maps!AE12&amp;"'!M28")</f>
        <v>C</v>
      </c>
      <c r="E43" s="62">
        <f ca="1">INDIRECT("'"&amp;Maps!AE12&amp;"'!G28")</f>
        <v>1.8596491228070178</v>
      </c>
      <c r="F43" s="47">
        <f ca="1">INDIRECT("'"&amp;Maps!AE12&amp;"'!L28")</f>
        <v>14.526315789473685</v>
      </c>
      <c r="G43" s="15">
        <f ca="1">INDIRECT("'"&amp;Maps!AE12&amp;"'!H28")</f>
        <v>0.37894736842105264</v>
      </c>
      <c r="H43" s="6"/>
      <c r="I43" s="7"/>
      <c r="J43" s="8"/>
      <c r="K43" s="104"/>
      <c r="L43" s="107"/>
      <c r="M43" s="110"/>
      <c r="N43" s="110"/>
      <c r="O43" s="36">
        <f ca="1">IF(D43="NC","",((E43*M41)+(F43*L41)+(G43*N41))*K41)</f>
        <v>465.61403508771934</v>
      </c>
      <c r="P43" s="11"/>
    </row>
    <row r="44" spans="2:18" ht="21" x14ac:dyDescent="0.35">
      <c r="B44" s="129" t="s">
        <v>17</v>
      </c>
      <c r="C44" s="67" t="s">
        <v>4</v>
      </c>
      <c r="D44" s="12" t="s">
        <v>21</v>
      </c>
      <c r="E44" s="13">
        <v>2.99</v>
      </c>
      <c r="F44" s="10">
        <v>15</v>
      </c>
      <c r="G44" s="8">
        <v>0.5</v>
      </c>
      <c r="H44" s="13">
        <v>2.99</v>
      </c>
      <c r="I44" s="10">
        <v>15</v>
      </c>
      <c r="J44" s="8">
        <v>0.5</v>
      </c>
      <c r="K44" s="102">
        <v>5</v>
      </c>
      <c r="L44" s="105">
        <v>5</v>
      </c>
      <c r="M44" s="108">
        <v>10</v>
      </c>
      <c r="N44" s="108">
        <v>5</v>
      </c>
      <c r="O44" s="33">
        <f>((E44*M44)+(F44*L44)+(G44*N44))*K44</f>
        <v>537</v>
      </c>
      <c r="P44" s="9">
        <f>((H44*M44)+(I44*L44)+(J44*N44))*L44</f>
        <v>537</v>
      </c>
    </row>
    <row r="45" spans="2:18" ht="21" x14ac:dyDescent="0.35">
      <c r="B45" s="130"/>
      <c r="C45" s="67" t="s">
        <v>2</v>
      </c>
      <c r="D45" s="5" t="s">
        <v>6</v>
      </c>
      <c r="E45" s="6">
        <v>2.5</v>
      </c>
      <c r="F45" s="7">
        <v>0</v>
      </c>
      <c r="G45" s="8">
        <v>0.5</v>
      </c>
      <c r="H45" s="6">
        <v>0</v>
      </c>
      <c r="I45" s="7">
        <v>0</v>
      </c>
      <c r="J45" s="8">
        <v>0</v>
      </c>
      <c r="K45" s="103"/>
      <c r="L45" s="106"/>
      <c r="M45" s="109"/>
      <c r="N45" s="109"/>
      <c r="O45" s="34">
        <f>((E45*M44)+(F45*L44)+(G45*N44))*K44</f>
        <v>137.5</v>
      </c>
      <c r="P45" s="11">
        <f>((H44*M45)+(I44*L45)+(J44*N45))*L44</f>
        <v>0</v>
      </c>
    </row>
    <row r="46" spans="2:18" ht="21.75" thickBot="1" x14ac:dyDescent="0.4">
      <c r="B46" s="131"/>
      <c r="C46" s="49" t="s">
        <v>47</v>
      </c>
      <c r="D46" s="62" t="str">
        <f ca="1">INDIRECT("'"&amp;Maps!AE12&amp;"'!M29")</f>
        <v>C</v>
      </c>
      <c r="E46" s="62">
        <f ca="1">INDIRECT("'"&amp;Maps!AE12&amp;"'!G29")</f>
        <v>3.1578947368421049</v>
      </c>
      <c r="F46" s="47">
        <f ca="1">INDIRECT("'"&amp;Maps!AE12&amp;"'!L29")</f>
        <v>15.157894736842104</v>
      </c>
      <c r="G46" s="15">
        <f ca="1">INDIRECT("'"&amp;Maps!AE12&amp;"'!H29")</f>
        <v>0.75789473684210529</v>
      </c>
      <c r="H46" s="6"/>
      <c r="I46" s="7"/>
      <c r="J46" s="8"/>
      <c r="K46" s="104"/>
      <c r="L46" s="107"/>
      <c r="M46" s="110"/>
      <c r="N46" s="110"/>
      <c r="O46" s="34">
        <f ca="1">IF(D46="NC","",((E46*M44)+(F46*L44)+(G46*N44))*K44)</f>
        <v>555.78947368421041</v>
      </c>
      <c r="P46" s="11"/>
    </row>
    <row r="47" spans="2:18" ht="21" x14ac:dyDescent="0.35">
      <c r="B47" s="94" t="s">
        <v>18</v>
      </c>
      <c r="C47" s="67" t="s">
        <v>4</v>
      </c>
      <c r="D47" s="12" t="s">
        <v>21</v>
      </c>
      <c r="E47" s="13">
        <v>2.99</v>
      </c>
      <c r="F47" s="10">
        <v>15</v>
      </c>
      <c r="G47" s="8">
        <v>0.5</v>
      </c>
      <c r="H47" s="13">
        <v>2.99</v>
      </c>
      <c r="I47" s="10">
        <v>15</v>
      </c>
      <c r="J47" s="8">
        <v>0.5</v>
      </c>
      <c r="K47" s="102">
        <v>5</v>
      </c>
      <c r="L47" s="105">
        <v>5</v>
      </c>
      <c r="M47" s="108">
        <v>10</v>
      </c>
      <c r="N47" s="108">
        <v>5</v>
      </c>
      <c r="O47" s="33">
        <f>((E47*M47)+(F47*L47)+(G47*N47))*K47</f>
        <v>537</v>
      </c>
      <c r="P47" s="9">
        <f>((H47*M47)+(I47*L47)+(J47*N47))*L47</f>
        <v>537</v>
      </c>
    </row>
    <row r="48" spans="2:18" ht="21" x14ac:dyDescent="0.35">
      <c r="B48" s="95"/>
      <c r="C48" s="67" t="s">
        <v>2</v>
      </c>
      <c r="D48" s="5" t="s">
        <v>6</v>
      </c>
      <c r="E48" s="6">
        <v>2.5</v>
      </c>
      <c r="F48" s="7">
        <v>0</v>
      </c>
      <c r="G48" s="8">
        <v>0.5</v>
      </c>
      <c r="H48" s="6">
        <v>0</v>
      </c>
      <c r="I48" s="7">
        <v>0</v>
      </c>
      <c r="J48" s="8">
        <v>0</v>
      </c>
      <c r="K48" s="103"/>
      <c r="L48" s="106"/>
      <c r="M48" s="109"/>
      <c r="N48" s="109"/>
      <c r="O48" s="34">
        <f>((E48*M47)+(F48*L47)+(G48*N47))*K47</f>
        <v>137.5</v>
      </c>
      <c r="P48" s="11">
        <f>((H47*M48)+(I47*L48)+(J47*N48))*L47</f>
        <v>0</v>
      </c>
    </row>
    <row r="49" spans="2:16" ht="21.75" thickBot="1" x14ac:dyDescent="0.4">
      <c r="B49" s="96"/>
      <c r="C49" s="49" t="s">
        <v>47</v>
      </c>
      <c r="D49" s="62" t="str">
        <f ca="1">INDIRECT("'"&amp;Maps!AE12&amp;"'!M30")</f>
        <v>C</v>
      </c>
      <c r="E49" s="62">
        <f ca="1">INDIRECT("'"&amp;Maps!AE12&amp;"'!G30")</f>
        <v>3.1578947368421049</v>
      </c>
      <c r="F49" s="47">
        <f ca="1">INDIRECT("'"&amp;Maps!AE12&amp;"'!L30")</f>
        <v>15.157894736842104</v>
      </c>
      <c r="G49" s="15">
        <f ca="1">INDIRECT("'"&amp;Maps!AE12&amp;"'!H30")</f>
        <v>0.75789473684210529</v>
      </c>
      <c r="H49" s="6"/>
      <c r="I49" s="7"/>
      <c r="J49" s="8"/>
      <c r="K49" s="104"/>
      <c r="L49" s="107"/>
      <c r="M49" s="110"/>
      <c r="N49" s="110"/>
      <c r="O49" s="36">
        <f ca="1">IF(D49="NC","",((E49*M47)+(F49*L47)+(G49*N47))*K47)</f>
        <v>555.78947368421041</v>
      </c>
      <c r="P49" s="11"/>
    </row>
    <row r="50" spans="2:16" ht="21" x14ac:dyDescent="0.35">
      <c r="B50" s="94" t="s">
        <v>19</v>
      </c>
      <c r="C50" s="67" t="s">
        <v>4</v>
      </c>
      <c r="D50" s="5" t="s">
        <v>6</v>
      </c>
      <c r="E50" s="6">
        <v>0</v>
      </c>
      <c r="F50" s="7">
        <v>0</v>
      </c>
      <c r="G50" s="8">
        <v>0</v>
      </c>
      <c r="H50" s="6">
        <v>0</v>
      </c>
      <c r="I50" s="7">
        <v>0</v>
      </c>
      <c r="J50" s="8">
        <v>0</v>
      </c>
      <c r="K50" s="102">
        <v>5</v>
      </c>
      <c r="L50" s="105">
        <v>5</v>
      </c>
      <c r="M50" s="108">
        <v>10</v>
      </c>
      <c r="N50" s="108">
        <v>5</v>
      </c>
      <c r="O50" s="33">
        <f>((E50*M50)+(F50*L50)+(G50*N50))*K50</f>
        <v>0</v>
      </c>
      <c r="P50" s="9">
        <f>((H50*M50)+(I50*L50)+(J50*N50))*L50</f>
        <v>0</v>
      </c>
    </row>
    <row r="51" spans="2:16" ht="21" x14ac:dyDescent="0.35">
      <c r="B51" s="95"/>
      <c r="C51" s="67" t="s">
        <v>2</v>
      </c>
      <c r="D51" s="5" t="s">
        <v>6</v>
      </c>
      <c r="E51" s="6">
        <v>2.5</v>
      </c>
      <c r="F51" s="7">
        <v>0</v>
      </c>
      <c r="G51" s="8">
        <v>0.5</v>
      </c>
      <c r="H51" s="6">
        <v>0</v>
      </c>
      <c r="I51" s="7">
        <v>0</v>
      </c>
      <c r="J51" s="8">
        <v>0</v>
      </c>
      <c r="K51" s="103"/>
      <c r="L51" s="106"/>
      <c r="M51" s="109"/>
      <c r="N51" s="109"/>
      <c r="O51" s="34">
        <f>((E51*M50)+(F51*L50)+(G51*N50))*K50</f>
        <v>137.5</v>
      </c>
      <c r="P51" s="11">
        <f>((H50*M51)+(I50*L51)+(J50*N51))*L50</f>
        <v>0</v>
      </c>
    </row>
    <row r="52" spans="2:16" ht="21.75" thickBot="1" x14ac:dyDescent="0.4">
      <c r="B52" s="96"/>
      <c r="C52" s="49" t="s">
        <v>47</v>
      </c>
      <c r="D52" s="62" t="str">
        <f ca="1">INDIRECT("'"&amp;Maps!AE12&amp;"'!M31")</f>
        <v>C</v>
      </c>
      <c r="E52" s="62">
        <f ca="1">INDIRECT("'"&amp;Maps!AE12&amp;"'!G31")</f>
        <v>1.368421052631579</v>
      </c>
      <c r="F52" s="47">
        <f ca="1">INDIRECT("'"&amp;Maps!AE12&amp;"'!L31")</f>
        <v>6.9473684210526319</v>
      </c>
      <c r="G52" s="15">
        <f ca="1">INDIRECT("'"&amp;Maps!AE12&amp;"'!H31")</f>
        <v>0.37894736842105264</v>
      </c>
      <c r="H52" s="6"/>
      <c r="I52" s="7"/>
      <c r="J52" s="8"/>
      <c r="K52" s="104"/>
      <c r="L52" s="107"/>
      <c r="M52" s="110"/>
      <c r="N52" s="110"/>
      <c r="O52" s="36">
        <f ca="1">IF(D52="NC","",((E52*M50)+(F52*L50)+(G52*N50))*K50)</f>
        <v>251.57894736842104</v>
      </c>
      <c r="P52" s="11"/>
    </row>
    <row r="53" spans="2:16" ht="21" x14ac:dyDescent="0.35">
      <c r="B53" s="94" t="s">
        <v>20</v>
      </c>
      <c r="C53" s="67" t="s">
        <v>4</v>
      </c>
      <c r="D53" s="12" t="s">
        <v>21</v>
      </c>
      <c r="E53" s="13">
        <v>2.99</v>
      </c>
      <c r="F53" s="10">
        <v>15</v>
      </c>
      <c r="G53" s="8">
        <v>0.5</v>
      </c>
      <c r="H53" s="13">
        <v>2.99</v>
      </c>
      <c r="I53" s="10">
        <v>15</v>
      </c>
      <c r="J53" s="5">
        <v>0.5</v>
      </c>
      <c r="K53" s="87">
        <v>5</v>
      </c>
      <c r="L53" s="88">
        <v>5</v>
      </c>
      <c r="M53" s="89">
        <v>10</v>
      </c>
      <c r="N53" s="90">
        <v>5</v>
      </c>
      <c r="O53" s="53">
        <f>((E53*M53)+(F53*L53)+(G53*N53))*K53</f>
        <v>537</v>
      </c>
      <c r="P53" s="9">
        <f>((H53*M53)+(I53*L53)+(J53*N53))*L53</f>
        <v>537</v>
      </c>
    </row>
    <row r="54" spans="2:16" ht="21.75" thickBot="1" x14ac:dyDescent="0.4">
      <c r="B54" s="95"/>
      <c r="C54" s="67" t="s">
        <v>2</v>
      </c>
      <c r="D54" s="5" t="s">
        <v>6</v>
      </c>
      <c r="E54" s="6">
        <v>2.5</v>
      </c>
      <c r="F54" s="47">
        <v>0</v>
      </c>
      <c r="G54" s="8">
        <v>0.5</v>
      </c>
      <c r="H54" s="58">
        <v>0</v>
      </c>
      <c r="I54" s="15">
        <v>0</v>
      </c>
      <c r="J54" s="35">
        <v>0</v>
      </c>
      <c r="K54" s="87"/>
      <c r="L54" s="88"/>
      <c r="M54" s="89"/>
      <c r="N54" s="90"/>
      <c r="O54" s="54">
        <f>((E54*M53)+(F54*L53)+(G54*N53))*K53</f>
        <v>137.5</v>
      </c>
      <c r="P54" s="17">
        <f>((H53*M54)+(I53*L54)+(J53*N54))*L53</f>
        <v>0</v>
      </c>
    </row>
    <row r="55" spans="2:16" ht="21.75" thickBot="1" x14ac:dyDescent="0.4">
      <c r="B55" s="96"/>
      <c r="C55" s="49" t="s">
        <v>47</v>
      </c>
      <c r="D55" s="62" t="str">
        <f ca="1">INDIRECT("'"&amp;Maps!AE12&amp;"'!M32")</f>
        <v>C</v>
      </c>
      <c r="E55" s="62">
        <f ca="1">INDIRECT("'"&amp;Maps!AE12&amp;"'!G32")</f>
        <v>1.368421052631579</v>
      </c>
      <c r="F55" s="47">
        <f ca="1">INDIRECT("'"&amp;Maps!AE12&amp;"'!L32")</f>
        <v>6.9473684210526319</v>
      </c>
      <c r="G55" s="15">
        <f ca="1">INDIRECT("'"&amp;Maps!AE12&amp;"'!H32")</f>
        <v>0.37894736842105264</v>
      </c>
      <c r="K55" s="87"/>
      <c r="L55" s="88"/>
      <c r="M55" s="89"/>
      <c r="N55" s="90"/>
      <c r="O55" s="54">
        <f ca="1">IF(D55="NC","",((E55*M53)+(F55*L53)+(G55*N53))*K53)</f>
        <v>251.57894736842104</v>
      </c>
    </row>
    <row r="56" spans="2:16" ht="21" x14ac:dyDescent="0.35">
      <c r="B56" s="94" t="s">
        <v>52</v>
      </c>
      <c r="C56" s="67" t="s">
        <v>4</v>
      </c>
      <c r="D56" s="52" t="s">
        <v>6</v>
      </c>
      <c r="E56" s="13">
        <v>0</v>
      </c>
      <c r="F56" s="10">
        <v>0</v>
      </c>
      <c r="G56" s="8">
        <v>0</v>
      </c>
      <c r="H56" s="59">
        <v>2.99</v>
      </c>
      <c r="I56" s="10">
        <v>15</v>
      </c>
      <c r="J56" s="5">
        <v>0.5</v>
      </c>
      <c r="K56" s="93">
        <v>5</v>
      </c>
      <c r="L56" s="92">
        <v>5</v>
      </c>
      <c r="M56" s="91">
        <v>10</v>
      </c>
      <c r="N56" s="90">
        <v>5</v>
      </c>
      <c r="O56" s="53">
        <f>((E56*M56)+(F56*L56)+(G56*N56))*K56</f>
        <v>0</v>
      </c>
    </row>
    <row r="57" spans="2:16" ht="21.75" thickBot="1" x14ac:dyDescent="0.4">
      <c r="B57" s="95"/>
      <c r="C57" s="67" t="s">
        <v>2</v>
      </c>
      <c r="D57" s="5" t="s">
        <v>6</v>
      </c>
      <c r="E57" s="6">
        <v>2.5</v>
      </c>
      <c r="F57" s="47">
        <v>0</v>
      </c>
      <c r="G57" s="8">
        <v>0.5</v>
      </c>
      <c r="H57" s="58">
        <v>0</v>
      </c>
      <c r="I57" s="15">
        <v>0</v>
      </c>
      <c r="J57" s="35">
        <v>0</v>
      </c>
      <c r="K57" s="93"/>
      <c r="L57" s="92"/>
      <c r="M57" s="91"/>
      <c r="N57" s="90"/>
      <c r="O57" s="54">
        <f>((E57*M56)+(F57*L56)+(G57*N56))*K56</f>
        <v>137.5</v>
      </c>
    </row>
    <row r="58" spans="2:16" ht="21.75" thickBot="1" x14ac:dyDescent="0.4">
      <c r="B58" s="96"/>
      <c r="C58" s="49" t="s">
        <v>47</v>
      </c>
      <c r="D58" s="62" t="str">
        <f ca="1">INDIRECT("'"&amp;Maps!AE12&amp;"'!M33")</f>
        <v>C</v>
      </c>
      <c r="E58" s="62">
        <f ca="1">INDIRECT("'"&amp;Maps!AE12&amp;"'!G33")</f>
        <v>1.368421052631579</v>
      </c>
      <c r="F58" s="47">
        <f ca="1">INDIRECT("'"&amp;Maps!AE12&amp;"'!L33")</f>
        <v>6.9473684210526319</v>
      </c>
      <c r="G58" s="15">
        <f ca="1">INDIRECT("'"&amp;Maps!AE12&amp;"'!H33")</f>
        <v>0.37894736842105264</v>
      </c>
      <c r="H58" s="43"/>
      <c r="I58" s="43"/>
      <c r="J58" s="43"/>
      <c r="K58" s="93"/>
      <c r="L58" s="92"/>
      <c r="M58" s="91"/>
      <c r="N58" s="90"/>
      <c r="O58" s="54">
        <f ca="1">IF(D58="NC","",((E58*M56)+(F58*L56)+(G58*N56))*K56)</f>
        <v>251.57894736842104</v>
      </c>
    </row>
    <row r="59" spans="2:16" ht="21" x14ac:dyDescent="0.35">
      <c r="B59" s="94" t="s">
        <v>50</v>
      </c>
      <c r="C59" s="67" t="s">
        <v>4</v>
      </c>
      <c r="D59" s="52" t="s">
        <v>6</v>
      </c>
      <c r="E59" s="13">
        <v>0</v>
      </c>
      <c r="F59" s="10">
        <v>0</v>
      </c>
      <c r="G59" s="8">
        <v>0</v>
      </c>
      <c r="H59" s="13">
        <v>2.99</v>
      </c>
      <c r="I59" s="10">
        <v>15</v>
      </c>
      <c r="J59" s="5">
        <v>0.5</v>
      </c>
      <c r="K59" s="93">
        <v>5</v>
      </c>
      <c r="L59" s="92">
        <v>5</v>
      </c>
      <c r="M59" s="91">
        <v>10</v>
      </c>
      <c r="N59" s="90">
        <v>5</v>
      </c>
      <c r="O59" s="53">
        <f>((E59*M59)+(F59*L59)+(G59*N59))*K59</f>
        <v>0</v>
      </c>
    </row>
    <row r="60" spans="2:16" ht="21.75" thickBot="1" x14ac:dyDescent="0.4">
      <c r="B60" s="95"/>
      <c r="C60" s="67" t="s">
        <v>2</v>
      </c>
      <c r="D60" s="5" t="s">
        <v>6</v>
      </c>
      <c r="E60" s="55">
        <v>2.5</v>
      </c>
      <c r="F60" s="56">
        <v>0</v>
      </c>
      <c r="G60" s="57">
        <v>0.5</v>
      </c>
      <c r="H60" s="14">
        <v>0</v>
      </c>
      <c r="I60" s="15">
        <v>0</v>
      </c>
      <c r="J60" s="35">
        <v>0</v>
      </c>
      <c r="K60" s="93"/>
      <c r="L60" s="92"/>
      <c r="M60" s="91"/>
      <c r="N60" s="90"/>
      <c r="O60" s="54">
        <f>((E60*M59)+(F60*L59)+(G60*N59))*K59</f>
        <v>137.5</v>
      </c>
    </row>
    <row r="61" spans="2:16" ht="21.75" thickBot="1" x14ac:dyDescent="0.4">
      <c r="B61" s="96"/>
      <c r="C61" s="49" t="s">
        <v>47</v>
      </c>
      <c r="D61" s="62" t="str">
        <f ca="1">INDIRECT("'"&amp;Maps!AE12&amp;"'!M34")</f>
        <v>C</v>
      </c>
      <c r="E61" s="62">
        <f ca="1">INDIRECT("'"&amp;Maps!AE12&amp;"'!G34")</f>
        <v>1.368421052631579</v>
      </c>
      <c r="F61" s="47">
        <f ca="1">INDIRECT("'"&amp;Maps!AE12&amp;"'!L34")</f>
        <v>6.9473684210526319</v>
      </c>
      <c r="G61" s="15">
        <f ca="1">INDIRECT("'"&amp;Maps!AE12&amp;"'!H34")</f>
        <v>0.37894736842105264</v>
      </c>
      <c r="H61" s="43"/>
      <c r="I61" s="43"/>
      <c r="J61" s="43"/>
      <c r="K61" s="97"/>
      <c r="L61" s="98"/>
      <c r="M61" s="99"/>
      <c r="N61" s="100"/>
      <c r="O61" s="60">
        <f ca="1">IF(D61="NC","",((E61*M59)+(F61*L59)+(G61*N59))*K59)</f>
        <v>251.57894736842104</v>
      </c>
    </row>
    <row r="65" spans="3:7" ht="18.75" x14ac:dyDescent="0.3">
      <c r="C65" s="48" t="s">
        <v>33</v>
      </c>
      <c r="D65" s="48" t="s">
        <v>64</v>
      </c>
      <c r="E65" s="43"/>
      <c r="F65" s="43"/>
      <c r="G65" s="43"/>
    </row>
    <row r="66" spans="3:7" x14ac:dyDescent="0.25">
      <c r="C66" s="50"/>
      <c r="D66" s="44" t="s">
        <v>63</v>
      </c>
      <c r="E66" s="43"/>
      <c r="F66" s="43"/>
      <c r="G66" s="43"/>
    </row>
    <row r="67" spans="3:7" ht="21" x14ac:dyDescent="0.25">
      <c r="C67" s="51"/>
      <c r="D67" s="44" t="s">
        <v>65</v>
      </c>
      <c r="E67" s="43"/>
      <c r="F67" s="43"/>
      <c r="G67" s="43"/>
    </row>
    <row r="68" spans="3:7" x14ac:dyDescent="0.25">
      <c r="C68" s="46"/>
      <c r="D68" s="44" t="s">
        <v>66</v>
      </c>
      <c r="E68" s="43"/>
      <c r="F68" s="43"/>
      <c r="G68" s="43"/>
    </row>
    <row r="69" spans="3:7" x14ac:dyDescent="0.25">
      <c r="C69" s="43"/>
      <c r="D69" s="43"/>
      <c r="E69" s="43"/>
      <c r="F69" s="43"/>
      <c r="G69" s="43"/>
    </row>
    <row r="70" spans="3:7" x14ac:dyDescent="0.25">
      <c r="C70" s="43"/>
      <c r="D70" s="43"/>
      <c r="E70" s="43"/>
      <c r="F70" s="43"/>
      <c r="G70" s="43"/>
    </row>
    <row r="71" spans="3:7" x14ac:dyDescent="0.25">
      <c r="C71" s="43"/>
      <c r="D71" s="43"/>
      <c r="E71" s="43"/>
      <c r="F71" s="43"/>
      <c r="G71" s="43"/>
    </row>
    <row r="72" spans="3:7" x14ac:dyDescent="0.25">
      <c r="C72" s="45" t="s">
        <v>34</v>
      </c>
      <c r="D72" s="45"/>
      <c r="E72" s="43"/>
      <c r="F72" s="43"/>
      <c r="G72" s="43"/>
    </row>
    <row r="73" spans="3:7" x14ac:dyDescent="0.25">
      <c r="C73" s="44" t="s">
        <v>35</v>
      </c>
      <c r="D73" s="44">
        <v>5</v>
      </c>
      <c r="E73" s="43"/>
      <c r="F73" s="43"/>
      <c r="G73" s="43"/>
    </row>
    <row r="74" spans="3:7" x14ac:dyDescent="0.25">
      <c r="C74" s="44" t="s">
        <v>36</v>
      </c>
      <c r="D74" s="44">
        <v>5</v>
      </c>
      <c r="E74" s="43"/>
      <c r="F74" s="43"/>
      <c r="G74" s="43"/>
    </row>
    <row r="75" spans="3:7" x14ac:dyDescent="0.25">
      <c r="C75" s="44" t="s">
        <v>37</v>
      </c>
      <c r="D75" s="44">
        <v>10</v>
      </c>
      <c r="E75" s="43"/>
      <c r="F75" s="43"/>
      <c r="G75" s="43"/>
    </row>
    <row r="76" spans="3:7" x14ac:dyDescent="0.25">
      <c r="C76" s="44" t="s">
        <v>38</v>
      </c>
      <c r="D76" s="44">
        <v>5</v>
      </c>
      <c r="E76" s="43"/>
      <c r="F76" s="43"/>
      <c r="G76" s="43"/>
    </row>
    <row r="77" spans="3:7" x14ac:dyDescent="0.25">
      <c r="C77" s="43"/>
      <c r="D77" s="43"/>
      <c r="E77" s="43"/>
      <c r="F77" s="43"/>
      <c r="G77" s="43"/>
    </row>
    <row r="78" spans="3:7" x14ac:dyDescent="0.25">
      <c r="C78" s="43"/>
      <c r="D78" s="43"/>
      <c r="E78" s="43"/>
      <c r="F78" s="43"/>
      <c r="G78" s="43"/>
    </row>
    <row r="79" spans="3:7" x14ac:dyDescent="0.25">
      <c r="C79" s="43"/>
      <c r="D79" s="43"/>
      <c r="E79" s="43"/>
      <c r="F79" s="43"/>
      <c r="G79" s="43"/>
    </row>
    <row r="80" spans="3:7" x14ac:dyDescent="0.25">
      <c r="C80" s="43" t="s">
        <v>39</v>
      </c>
      <c r="D80" s="43"/>
      <c r="E80" s="43"/>
      <c r="F80" s="43"/>
      <c r="G80" s="43"/>
    </row>
    <row r="81" spans="3:19" x14ac:dyDescent="0.25">
      <c r="C81" s="43" t="s">
        <v>40</v>
      </c>
      <c r="D81" s="43"/>
      <c r="E81" s="43"/>
      <c r="F81" s="43"/>
      <c r="G81" s="43"/>
    </row>
    <row r="82" spans="3:19" x14ac:dyDescent="0.25">
      <c r="C82" s="43" t="s">
        <v>41</v>
      </c>
      <c r="D82" s="43"/>
      <c r="E82" s="43"/>
      <c r="F82" s="43"/>
      <c r="G82" s="43"/>
    </row>
    <row r="83" spans="3:19" x14ac:dyDescent="0.25">
      <c r="C83" s="43" t="s">
        <v>43</v>
      </c>
      <c r="D83" s="43"/>
      <c r="E83" s="43"/>
      <c r="F83" s="43"/>
      <c r="G83" s="43"/>
    </row>
    <row r="85" spans="3:19" x14ac:dyDescent="0.25">
      <c r="C85" s="43"/>
    </row>
    <row r="86" spans="3:19" x14ac:dyDescent="0.25">
      <c r="C86" s="44" t="s">
        <v>68</v>
      </c>
      <c r="D86" t="s">
        <v>61</v>
      </c>
    </row>
    <row r="87" spans="3:19" x14ac:dyDescent="0.25">
      <c r="R87" s="43"/>
      <c r="S87" s="43"/>
    </row>
    <row r="88" spans="3:19" x14ac:dyDescent="0.25">
      <c r="R88" s="43"/>
      <c r="S88" s="43"/>
    </row>
    <row r="89" spans="3:19" x14ac:dyDescent="0.25">
      <c r="R89" s="43"/>
      <c r="S89" s="43"/>
    </row>
    <row r="90" spans="3:19" x14ac:dyDescent="0.25">
      <c r="R90" s="43"/>
      <c r="S90" s="43"/>
    </row>
    <row r="91" spans="3:19" x14ac:dyDescent="0.25">
      <c r="R91" s="43"/>
      <c r="S91" s="43"/>
    </row>
    <row r="92" spans="3:19" x14ac:dyDescent="0.25">
      <c r="R92" s="43"/>
      <c r="S92" s="43"/>
    </row>
    <row r="93" spans="3:19" x14ac:dyDescent="0.25">
      <c r="R93" s="43"/>
      <c r="S93" s="43"/>
    </row>
    <row r="94" spans="3:19" x14ac:dyDescent="0.25">
      <c r="R94" s="43"/>
      <c r="S94" s="43"/>
    </row>
    <row r="95" spans="3:19" x14ac:dyDescent="0.25">
      <c r="R95" s="43"/>
      <c r="S95" s="43"/>
    </row>
    <row r="96" spans="3:19" x14ac:dyDescent="0.25">
      <c r="R96" s="43"/>
      <c r="S96" s="43"/>
    </row>
    <row r="97" spans="18:19" x14ac:dyDescent="0.25">
      <c r="R97" s="43"/>
      <c r="S97" s="43"/>
    </row>
    <row r="98" spans="18:19" x14ac:dyDescent="0.25">
      <c r="R98" s="43"/>
      <c r="S98" s="43"/>
    </row>
    <row r="99" spans="18:19" x14ac:dyDescent="0.25">
      <c r="R99" s="43"/>
      <c r="S99" s="43"/>
    </row>
    <row r="100" spans="18:19" x14ac:dyDescent="0.25">
      <c r="R100" s="43"/>
      <c r="S100" s="43"/>
    </row>
  </sheetData>
  <autoFilter ref="B4:P61"/>
  <mergeCells count="98">
    <mergeCell ref="B50:B52"/>
    <mergeCell ref="B53:B55"/>
    <mergeCell ref="B35:B37"/>
    <mergeCell ref="B38:B40"/>
    <mergeCell ref="B41:B43"/>
    <mergeCell ref="B44:B46"/>
    <mergeCell ref="B47:B49"/>
    <mergeCell ref="B20:B22"/>
    <mergeCell ref="B23:B25"/>
    <mergeCell ref="B26:B28"/>
    <mergeCell ref="B29:B31"/>
    <mergeCell ref="B32:B34"/>
    <mergeCell ref="B5:B7"/>
    <mergeCell ref="B8:B10"/>
    <mergeCell ref="B11:B13"/>
    <mergeCell ref="B14:B16"/>
    <mergeCell ref="B17:B19"/>
    <mergeCell ref="M50:M52"/>
    <mergeCell ref="N50:N52"/>
    <mergeCell ref="N44:N46"/>
    <mergeCell ref="K47:K49"/>
    <mergeCell ref="L47:L49"/>
    <mergeCell ref="M47:M49"/>
    <mergeCell ref="N47:N49"/>
    <mergeCell ref="N38:N40"/>
    <mergeCell ref="K41:K43"/>
    <mergeCell ref="L41:L43"/>
    <mergeCell ref="M41:M43"/>
    <mergeCell ref="N41:N43"/>
    <mergeCell ref="K35:K37"/>
    <mergeCell ref="L35:L37"/>
    <mergeCell ref="M35:M37"/>
    <mergeCell ref="N35:N37"/>
    <mergeCell ref="K32:K34"/>
    <mergeCell ref="K29:K31"/>
    <mergeCell ref="L29:L31"/>
    <mergeCell ref="M29:M31"/>
    <mergeCell ref="N29:N31"/>
    <mergeCell ref="L32:L34"/>
    <mergeCell ref="M32:M34"/>
    <mergeCell ref="N32:N34"/>
    <mergeCell ref="L23:L25"/>
    <mergeCell ref="M23:M25"/>
    <mergeCell ref="N23:N25"/>
    <mergeCell ref="L26:L28"/>
    <mergeCell ref="M26:M28"/>
    <mergeCell ref="N26:N28"/>
    <mergeCell ref="L17:L19"/>
    <mergeCell ref="M17:M19"/>
    <mergeCell ref="N17:N19"/>
    <mergeCell ref="L20:L22"/>
    <mergeCell ref="M20:M22"/>
    <mergeCell ref="N20:N22"/>
    <mergeCell ref="L11:L13"/>
    <mergeCell ref="M11:M13"/>
    <mergeCell ref="N11:N13"/>
    <mergeCell ref="L14:L16"/>
    <mergeCell ref="M14:M16"/>
    <mergeCell ref="N14:N16"/>
    <mergeCell ref="L5:L7"/>
    <mergeCell ref="M5:M7"/>
    <mergeCell ref="L8:L10"/>
    <mergeCell ref="M8:M10"/>
    <mergeCell ref="N8:N10"/>
    <mergeCell ref="H3:J3"/>
    <mergeCell ref="K5:K7"/>
    <mergeCell ref="K11:K13"/>
    <mergeCell ref="K17:K19"/>
    <mergeCell ref="K23:K25"/>
    <mergeCell ref="B56:B58"/>
    <mergeCell ref="O3:P3"/>
    <mergeCell ref="K38:K40"/>
    <mergeCell ref="L38:L40"/>
    <mergeCell ref="M38:M40"/>
    <mergeCell ref="K44:K46"/>
    <mergeCell ref="L44:L46"/>
    <mergeCell ref="M44:M46"/>
    <mergeCell ref="K50:K52"/>
    <mergeCell ref="L50:L52"/>
    <mergeCell ref="N5:N7"/>
    <mergeCell ref="K8:K10"/>
    <mergeCell ref="K14:K16"/>
    <mergeCell ref="K20:K22"/>
    <mergeCell ref="K26:K28"/>
    <mergeCell ref="E3:G3"/>
    <mergeCell ref="B59:B61"/>
    <mergeCell ref="K59:K61"/>
    <mergeCell ref="L59:L61"/>
    <mergeCell ref="M59:M61"/>
    <mergeCell ref="N59:N61"/>
    <mergeCell ref="K53:K55"/>
    <mergeCell ref="L53:L55"/>
    <mergeCell ref="M53:M55"/>
    <mergeCell ref="N53:N55"/>
    <mergeCell ref="N56:N58"/>
    <mergeCell ref="M56:M58"/>
    <mergeCell ref="L56:L58"/>
    <mergeCell ref="K56:K58"/>
  </mergeCells>
  <conditionalFormatting sqref="C5:C55">
    <cfRule type="expression" dxfId="2" priority="25">
      <formula>($O5:$O54="")</formula>
    </cfRule>
  </conditionalFormatting>
  <conditionalFormatting sqref="O5:O7">
    <cfRule type="colorScale" priority="23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8:O10">
    <cfRule type="colorScale" priority="22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11:O13">
    <cfRule type="colorScale" priority="21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14:O16">
    <cfRule type="colorScale" priority="20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17:O19">
    <cfRule type="colorScale" priority="19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20:O22">
    <cfRule type="colorScale" priority="18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23:O25">
    <cfRule type="colorScale" priority="17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26:O28">
    <cfRule type="colorScale" priority="16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29:O31">
    <cfRule type="colorScale" priority="15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32:O34">
    <cfRule type="colorScale" priority="14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35:O37">
    <cfRule type="colorScale" priority="13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38:O40">
    <cfRule type="colorScale" priority="12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41:O43">
    <cfRule type="colorScale" priority="11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44:O46">
    <cfRule type="colorScale" priority="10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47:O49">
    <cfRule type="colorScale" priority="9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50:O52">
    <cfRule type="colorScale" priority="8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O53:O55">
    <cfRule type="colorScale" priority="7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C56:C58">
    <cfRule type="expression" dxfId="1" priority="6">
      <formula>($O56:$O105="")</formula>
    </cfRule>
  </conditionalFormatting>
  <conditionalFormatting sqref="O56:O58">
    <cfRule type="colorScale" priority="5">
      <colorScale>
        <cfvo type="min"/>
        <cfvo type="percentile" val="50"/>
        <cfvo type="max"/>
        <color rgb="FF5BEB47"/>
        <color rgb="FFFFFF00"/>
        <color rgb="FFFF0000"/>
      </colorScale>
    </cfRule>
  </conditionalFormatting>
  <conditionalFormatting sqref="C59:C61">
    <cfRule type="expression" dxfId="0" priority="4">
      <formula>($O59:$O108="")</formula>
    </cfRule>
  </conditionalFormatting>
  <conditionalFormatting sqref="O59:O61">
    <cfRule type="colorScale" priority="3">
      <colorScale>
        <cfvo type="min"/>
        <cfvo type="percentile" val="50"/>
        <cfvo type="max"/>
        <color rgb="FF5BEB47"/>
        <color rgb="FFFFFF00"/>
        <color rgb="FFFF0000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3:M45"/>
  <sheetViews>
    <sheetView topLeftCell="A7" zoomScaleNormal="100" workbookViewId="0">
      <selection activeCell="L16" sqref="L16"/>
    </sheetView>
  </sheetViews>
  <sheetFormatPr defaultRowHeight="15" x14ac:dyDescent="0.25"/>
  <cols>
    <col min="2" max="2" width="20" bestFit="1" customWidth="1"/>
    <col min="3" max="3" width="20.85546875" customWidth="1"/>
    <col min="4" max="4" width="17.5703125" customWidth="1"/>
    <col min="5" max="5" width="14.42578125" customWidth="1"/>
    <col min="6" max="7" width="15.28515625" customWidth="1"/>
    <col min="8" max="8" width="12.5703125" customWidth="1"/>
  </cols>
  <sheetData>
    <row r="13" spans="2:13" x14ac:dyDescent="0.25">
      <c r="D13" s="135" t="s">
        <v>44</v>
      </c>
      <c r="E13" s="135"/>
      <c r="F13" s="135"/>
    </row>
    <row r="14" spans="2:13" x14ac:dyDescent="0.25">
      <c r="B14" s="132"/>
      <c r="C14" s="136" t="s">
        <v>45</v>
      </c>
      <c r="D14" s="137" t="s">
        <v>46</v>
      </c>
      <c r="E14" s="137" t="s">
        <v>47</v>
      </c>
      <c r="F14" s="137" t="s">
        <v>48</v>
      </c>
      <c r="G14" s="138" t="s">
        <v>55</v>
      </c>
      <c r="H14" s="133" t="s">
        <v>49</v>
      </c>
      <c r="I14" s="134" t="s">
        <v>54</v>
      </c>
      <c r="J14" s="134"/>
      <c r="K14" s="134"/>
    </row>
    <row r="15" spans="2:13" ht="14.25" customHeight="1" x14ac:dyDescent="0.25">
      <c r="B15" s="132"/>
      <c r="C15" s="136"/>
      <c r="D15" s="137"/>
      <c r="E15" s="137"/>
      <c r="F15" s="137"/>
      <c r="G15" s="139"/>
      <c r="H15" s="133"/>
      <c r="I15" s="18">
        <v>1</v>
      </c>
      <c r="J15" s="18">
        <v>2</v>
      </c>
      <c r="K15" s="18">
        <v>3</v>
      </c>
      <c r="L15" s="19" t="s">
        <v>55</v>
      </c>
      <c r="M15" s="44"/>
    </row>
    <row r="16" spans="2:13" x14ac:dyDescent="0.25">
      <c r="B16" s="1" t="s">
        <v>5</v>
      </c>
      <c r="C16" s="1">
        <v>0.31</v>
      </c>
      <c r="D16" s="1">
        <v>2.4900000000000002</v>
      </c>
      <c r="E16" s="1">
        <v>0.99</v>
      </c>
      <c r="F16" s="1">
        <v>3.99</v>
      </c>
      <c r="G16" s="20">
        <f>AVERAGE(D16:F16)</f>
        <v>2.4900000000000002</v>
      </c>
      <c r="H16" s="1">
        <v>0.45</v>
      </c>
      <c r="I16" s="1">
        <v>0.14000000000000001</v>
      </c>
      <c r="J16" s="1">
        <v>1.0900000000000001</v>
      </c>
      <c r="K16" s="1">
        <v>0.01</v>
      </c>
      <c r="L16" s="2">
        <v>0.41</v>
      </c>
      <c r="M16" s="44" t="s">
        <v>72</v>
      </c>
    </row>
    <row r="17" spans="2:13" x14ac:dyDescent="0.25">
      <c r="B17" s="1" t="s">
        <v>7</v>
      </c>
      <c r="C17" s="1">
        <v>0.31</v>
      </c>
      <c r="D17" s="1">
        <v>4.99</v>
      </c>
      <c r="E17" s="1">
        <v>0.99</v>
      </c>
      <c r="F17" s="1">
        <v>4.99</v>
      </c>
      <c r="G17" s="20">
        <f t="shared" ref="G17:G32" si="0">AVERAGE(D17:F17)</f>
        <v>3.6566666666666667</v>
      </c>
      <c r="H17" s="1">
        <v>0.55000000000000004</v>
      </c>
      <c r="I17" s="1">
        <v>1.5</v>
      </c>
      <c r="J17" s="1"/>
      <c r="K17" s="1"/>
      <c r="L17" s="2">
        <v>1.5</v>
      </c>
      <c r="M17" s="44" t="s">
        <v>72</v>
      </c>
    </row>
    <row r="18" spans="2:13" x14ac:dyDescent="0.25">
      <c r="B18" s="1" t="s">
        <v>8</v>
      </c>
      <c r="C18" s="1">
        <v>0.31</v>
      </c>
      <c r="D18" s="1">
        <v>4.99</v>
      </c>
      <c r="E18" s="1">
        <v>0.99</v>
      </c>
      <c r="F18" s="1">
        <v>4.99</v>
      </c>
      <c r="G18" s="20">
        <f t="shared" si="0"/>
        <v>3.6566666666666667</v>
      </c>
      <c r="H18" s="1">
        <v>0.55000000000000004</v>
      </c>
      <c r="I18" s="1">
        <v>1.95</v>
      </c>
      <c r="J18" s="1">
        <v>1.84</v>
      </c>
      <c r="K18" s="1">
        <v>2.25</v>
      </c>
      <c r="L18" s="2">
        <v>2.0099999999999998</v>
      </c>
      <c r="M18" s="44" t="s">
        <v>72</v>
      </c>
    </row>
    <row r="19" spans="2:13" x14ac:dyDescent="0.25">
      <c r="B19" s="1" t="s">
        <v>9</v>
      </c>
      <c r="C19" s="1">
        <v>0.31</v>
      </c>
      <c r="D19" s="1">
        <v>3.99</v>
      </c>
      <c r="E19" s="1">
        <v>0.99</v>
      </c>
      <c r="F19" s="1">
        <v>3.99</v>
      </c>
      <c r="G19" s="20">
        <f t="shared" si="0"/>
        <v>2.99</v>
      </c>
      <c r="H19" s="1">
        <v>0.45</v>
      </c>
      <c r="I19" s="1">
        <v>1.5</v>
      </c>
      <c r="J19" s="1">
        <v>1.5</v>
      </c>
      <c r="K19" s="1"/>
      <c r="L19" s="2">
        <v>1.5</v>
      </c>
      <c r="M19" s="44" t="s">
        <v>72</v>
      </c>
    </row>
    <row r="20" spans="2:13" x14ac:dyDescent="0.25">
      <c r="B20" s="1" t="s">
        <v>10</v>
      </c>
      <c r="C20" s="1">
        <v>0.31</v>
      </c>
      <c r="D20" s="1">
        <v>1.99</v>
      </c>
      <c r="E20" s="1">
        <v>0.99</v>
      </c>
      <c r="F20" s="1">
        <v>3.99</v>
      </c>
      <c r="G20" s="20">
        <f t="shared" si="0"/>
        <v>2.3233333333333337</v>
      </c>
      <c r="H20" s="1">
        <v>0.55000000000000004</v>
      </c>
      <c r="I20" s="1">
        <v>5.12</v>
      </c>
      <c r="J20" s="1"/>
      <c r="K20" s="1"/>
      <c r="L20" s="2">
        <v>5.12</v>
      </c>
      <c r="M20" s="44" t="s">
        <v>72</v>
      </c>
    </row>
    <row r="21" spans="2:13" x14ac:dyDescent="0.25">
      <c r="B21" s="1" t="s">
        <v>11</v>
      </c>
      <c r="C21" s="1">
        <v>0.31</v>
      </c>
      <c r="D21" s="1">
        <v>2.99</v>
      </c>
      <c r="E21" s="1">
        <v>0.99</v>
      </c>
      <c r="F21" s="1">
        <v>3.99</v>
      </c>
      <c r="G21" s="20">
        <f t="shared" si="0"/>
        <v>2.6566666666666667</v>
      </c>
      <c r="H21" s="1">
        <v>0.45</v>
      </c>
      <c r="I21" s="1">
        <v>0.92</v>
      </c>
      <c r="J21" s="1"/>
      <c r="K21" s="1"/>
      <c r="L21" s="2">
        <v>0.92</v>
      </c>
      <c r="M21" s="44" t="s">
        <v>72</v>
      </c>
    </row>
    <row r="22" spans="2:13" x14ac:dyDescent="0.25">
      <c r="B22" s="1" t="s">
        <v>67</v>
      </c>
      <c r="C22" s="1">
        <v>0.31</v>
      </c>
      <c r="D22" s="1">
        <v>4.99</v>
      </c>
      <c r="E22" s="1">
        <v>0.99</v>
      </c>
      <c r="F22" s="1">
        <v>4.99</v>
      </c>
      <c r="G22" s="20">
        <f t="shared" si="0"/>
        <v>3.6566666666666667</v>
      </c>
      <c r="H22" s="1">
        <v>0.55000000000000004</v>
      </c>
      <c r="I22" s="1">
        <v>1.1599999999999999</v>
      </c>
      <c r="J22" s="1">
        <v>1.1599999999999999</v>
      </c>
      <c r="K22" s="1"/>
      <c r="L22" s="2">
        <v>1.1599999999999999</v>
      </c>
      <c r="M22" s="44" t="s">
        <v>72</v>
      </c>
    </row>
    <row r="23" spans="2:13" x14ac:dyDescent="0.25">
      <c r="B23" s="1" t="s">
        <v>12</v>
      </c>
      <c r="C23" s="1">
        <v>0.31</v>
      </c>
      <c r="D23" s="1">
        <v>3.99</v>
      </c>
      <c r="E23" s="1">
        <v>0.99</v>
      </c>
      <c r="F23" s="1">
        <v>3.99</v>
      </c>
      <c r="G23" s="20">
        <f t="shared" si="0"/>
        <v>2.99</v>
      </c>
      <c r="H23" s="1">
        <v>0.45</v>
      </c>
      <c r="I23" s="1">
        <v>0.2</v>
      </c>
      <c r="J23" s="1">
        <v>2.5</v>
      </c>
      <c r="K23" s="1"/>
      <c r="L23" s="2">
        <v>1.35</v>
      </c>
      <c r="M23" s="44" t="s">
        <v>72</v>
      </c>
    </row>
    <row r="24" spans="2:13" x14ac:dyDescent="0.25">
      <c r="B24" s="1" t="s">
        <v>13</v>
      </c>
      <c r="C24" s="1">
        <v>0.31</v>
      </c>
      <c r="D24" s="1">
        <v>1.99</v>
      </c>
      <c r="E24" s="1">
        <v>0.99</v>
      </c>
      <c r="F24" s="1">
        <v>3.99</v>
      </c>
      <c r="G24" s="20">
        <f t="shared" si="0"/>
        <v>2.3233333333333337</v>
      </c>
      <c r="H24" s="1">
        <v>0.55000000000000004</v>
      </c>
      <c r="I24" s="1"/>
      <c r="J24" s="1"/>
      <c r="K24" s="1"/>
      <c r="L24" s="1"/>
      <c r="M24" s="44" t="s">
        <v>71</v>
      </c>
    </row>
    <row r="25" spans="2:13" x14ac:dyDescent="0.25">
      <c r="B25" s="1" t="s">
        <v>14</v>
      </c>
      <c r="C25" s="1"/>
      <c r="D25" s="1"/>
      <c r="E25" s="1"/>
      <c r="F25" s="1"/>
      <c r="G25" s="20"/>
      <c r="H25" s="1"/>
      <c r="I25" s="1"/>
      <c r="J25" s="1"/>
      <c r="K25" s="1"/>
      <c r="L25" s="1"/>
      <c r="M25" s="44" t="s">
        <v>71</v>
      </c>
    </row>
    <row r="26" spans="2:13" x14ac:dyDescent="0.25">
      <c r="B26" s="1" t="s">
        <v>15</v>
      </c>
      <c r="C26" s="1">
        <v>0.31</v>
      </c>
      <c r="D26" s="1">
        <v>4.99</v>
      </c>
      <c r="E26" s="1">
        <v>0.99</v>
      </c>
      <c r="F26" s="1">
        <v>4.99</v>
      </c>
      <c r="G26" s="20">
        <f t="shared" si="0"/>
        <v>3.6566666666666667</v>
      </c>
      <c r="H26" s="1">
        <v>0.55000000000000004</v>
      </c>
      <c r="I26" s="1"/>
      <c r="J26" s="1"/>
      <c r="K26" s="1"/>
      <c r="L26" s="1"/>
      <c r="M26" s="44" t="s">
        <v>71</v>
      </c>
    </row>
    <row r="27" spans="2:13" x14ac:dyDescent="0.25">
      <c r="B27" s="1" t="s">
        <v>16</v>
      </c>
      <c r="C27" s="1">
        <v>0.31</v>
      </c>
      <c r="D27" s="1">
        <v>4.99</v>
      </c>
      <c r="E27" s="1">
        <v>0.99</v>
      </c>
      <c r="F27" s="1">
        <v>4.99</v>
      </c>
      <c r="G27" s="20">
        <f t="shared" si="0"/>
        <v>3.6566666666666667</v>
      </c>
      <c r="H27" s="1">
        <v>0.55000000000000004</v>
      </c>
      <c r="I27" s="1">
        <v>1.22</v>
      </c>
      <c r="J27" s="1">
        <v>1.43</v>
      </c>
      <c r="K27" s="1"/>
      <c r="L27" s="2">
        <v>1.33</v>
      </c>
      <c r="M27" s="44" t="s">
        <v>72</v>
      </c>
    </row>
    <row r="28" spans="2:13" s="43" customFormat="1" x14ac:dyDescent="0.25">
      <c r="B28" s="44" t="s">
        <v>1</v>
      </c>
      <c r="C28" s="44"/>
      <c r="D28" s="44"/>
      <c r="E28" s="44">
        <v>0.02</v>
      </c>
      <c r="F28" s="44">
        <v>0.36</v>
      </c>
      <c r="G28" s="20">
        <f t="shared" si="0"/>
        <v>0.19</v>
      </c>
      <c r="H28" s="44">
        <v>0.01</v>
      </c>
      <c r="I28" s="44"/>
      <c r="J28" s="44"/>
      <c r="K28" s="44"/>
      <c r="L28" s="2">
        <v>0</v>
      </c>
      <c r="M28" s="44" t="s">
        <v>72</v>
      </c>
    </row>
    <row r="29" spans="2:13" x14ac:dyDescent="0.25">
      <c r="B29" s="1" t="s">
        <v>17</v>
      </c>
      <c r="C29" s="1">
        <v>0.31</v>
      </c>
      <c r="D29" s="1">
        <v>1.99</v>
      </c>
      <c r="E29" s="1">
        <v>0.99</v>
      </c>
      <c r="F29" s="1">
        <v>4.99</v>
      </c>
      <c r="G29" s="20">
        <f t="shared" si="0"/>
        <v>2.6566666666666667</v>
      </c>
      <c r="H29" s="1">
        <v>0.55000000000000004</v>
      </c>
      <c r="I29" s="1"/>
      <c r="J29" s="1"/>
      <c r="K29" s="1"/>
      <c r="L29" s="1"/>
      <c r="M29" s="44" t="s">
        <v>71</v>
      </c>
    </row>
    <row r="30" spans="2:13" x14ac:dyDescent="0.25">
      <c r="B30" s="1" t="s">
        <v>18</v>
      </c>
      <c r="C30" s="1">
        <v>0.31</v>
      </c>
      <c r="D30" s="1">
        <v>4.99</v>
      </c>
      <c r="E30" s="1">
        <v>0.99</v>
      </c>
      <c r="F30" s="1">
        <v>4.99</v>
      </c>
      <c r="G30" s="20">
        <f t="shared" si="0"/>
        <v>3.6566666666666667</v>
      </c>
      <c r="H30" s="1">
        <v>0.55000000000000004</v>
      </c>
      <c r="I30" s="1">
        <v>0.9</v>
      </c>
      <c r="J30" s="1"/>
      <c r="K30" s="1"/>
      <c r="L30" s="2">
        <v>0.9</v>
      </c>
      <c r="M30" s="44" t="s">
        <v>72</v>
      </c>
    </row>
    <row r="31" spans="2:13" x14ac:dyDescent="0.25">
      <c r="B31" s="1" t="s">
        <v>19</v>
      </c>
      <c r="C31" s="1">
        <v>0.31</v>
      </c>
      <c r="D31" s="1">
        <v>1.99</v>
      </c>
      <c r="E31" s="1">
        <v>0.99</v>
      </c>
      <c r="F31" s="1">
        <v>3.99</v>
      </c>
      <c r="G31" s="20">
        <f t="shared" si="0"/>
        <v>2.3233333333333337</v>
      </c>
      <c r="H31" s="1">
        <v>0.55000000000000004</v>
      </c>
      <c r="I31" s="1">
        <v>0.31</v>
      </c>
      <c r="J31" s="1"/>
      <c r="K31" s="1"/>
      <c r="L31" s="2">
        <v>0.31</v>
      </c>
      <c r="M31" s="44" t="s">
        <v>72</v>
      </c>
    </row>
    <row r="32" spans="2:13" x14ac:dyDescent="0.25">
      <c r="B32" s="1" t="s">
        <v>20</v>
      </c>
      <c r="C32" s="1">
        <v>0.31</v>
      </c>
      <c r="D32" s="1">
        <v>2.4900000000000002</v>
      </c>
      <c r="E32" s="1">
        <v>0.99</v>
      </c>
      <c r="F32" s="1">
        <v>3.99</v>
      </c>
      <c r="G32" s="20">
        <f t="shared" si="0"/>
        <v>2.4900000000000002</v>
      </c>
      <c r="H32" s="1">
        <v>0.45</v>
      </c>
      <c r="K32" s="1"/>
      <c r="L32" s="1"/>
      <c r="M32" s="44" t="s">
        <v>71</v>
      </c>
    </row>
    <row r="33" spans="2:13" x14ac:dyDescent="0.25">
      <c r="B33" s="1" t="s">
        <v>52</v>
      </c>
      <c r="C33" s="1">
        <v>0.31</v>
      </c>
      <c r="D33" s="1">
        <v>2.4900000000000002</v>
      </c>
      <c r="E33" s="1">
        <v>0.99</v>
      </c>
      <c r="F33" s="1">
        <v>3.99</v>
      </c>
      <c r="G33" s="20">
        <f>AVERAGE(D33:F33)</f>
        <v>2.4900000000000002</v>
      </c>
      <c r="H33" s="1">
        <v>0.45</v>
      </c>
      <c r="I33" s="1">
        <v>10.24</v>
      </c>
      <c r="J33" s="1">
        <v>2.25</v>
      </c>
      <c r="K33" s="1">
        <v>0.45</v>
      </c>
      <c r="L33" s="2">
        <v>4.3099999999999996</v>
      </c>
      <c r="M33" s="44" t="s">
        <v>72</v>
      </c>
    </row>
    <row r="34" spans="2:13" x14ac:dyDescent="0.25">
      <c r="B34" s="1" t="s">
        <v>50</v>
      </c>
      <c r="C34" s="1">
        <v>0.31</v>
      </c>
      <c r="D34" s="1">
        <v>2.99</v>
      </c>
      <c r="E34" s="1">
        <v>0.99</v>
      </c>
      <c r="F34" s="1">
        <v>3.99</v>
      </c>
      <c r="G34" s="20">
        <f>AVERAGE(D34:F34)</f>
        <v>2.6566666666666667</v>
      </c>
      <c r="H34" s="1">
        <v>0.45</v>
      </c>
      <c r="I34" s="1">
        <v>1.53</v>
      </c>
      <c r="J34" s="1">
        <v>0.64</v>
      </c>
      <c r="K34" s="1"/>
      <c r="L34" s="2">
        <v>1.1000000000000001</v>
      </c>
      <c r="M34" s="44" t="s">
        <v>72</v>
      </c>
    </row>
    <row r="35" spans="2:13" x14ac:dyDescent="0.25">
      <c r="B35" s="1" t="s">
        <v>53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44" t="s">
        <v>71</v>
      </c>
    </row>
    <row r="36" spans="2:13" x14ac:dyDescent="0.25">
      <c r="B36" s="1" t="s">
        <v>51</v>
      </c>
      <c r="C36" s="1">
        <v>0.31</v>
      </c>
      <c r="D36" s="1">
        <v>4.99</v>
      </c>
      <c r="E36" s="1">
        <v>0.99</v>
      </c>
      <c r="F36" s="1">
        <v>4.99</v>
      </c>
      <c r="G36" s="20">
        <f>AVERAGE(D36:F36)</f>
        <v>3.6566666666666667</v>
      </c>
      <c r="H36" s="1">
        <v>0.55000000000000004</v>
      </c>
      <c r="I36" s="1">
        <v>1.02</v>
      </c>
      <c r="J36" s="1">
        <v>0.1</v>
      </c>
      <c r="K36" s="1"/>
      <c r="L36" s="2">
        <v>0.56000000000000005</v>
      </c>
      <c r="M36" s="44" t="s">
        <v>72</v>
      </c>
    </row>
    <row r="40" spans="2:13" x14ac:dyDescent="0.25">
      <c r="B40" t="s">
        <v>59</v>
      </c>
    </row>
    <row r="42" spans="2:13" x14ac:dyDescent="0.25">
      <c r="C42" s="43"/>
      <c r="D42" s="43"/>
      <c r="E42" s="43"/>
      <c r="F42" s="43"/>
    </row>
    <row r="43" spans="2:13" x14ac:dyDescent="0.25">
      <c r="C43" t="s">
        <v>56</v>
      </c>
      <c r="H43" t="s">
        <v>60</v>
      </c>
    </row>
    <row r="44" spans="2:13" x14ac:dyDescent="0.25">
      <c r="C44" t="s">
        <v>57</v>
      </c>
      <c r="H44" t="s">
        <v>62</v>
      </c>
    </row>
    <row r="45" spans="2:13" x14ac:dyDescent="0.25">
      <c r="C45" t="s">
        <v>58</v>
      </c>
      <c r="H45" t="s">
        <v>62</v>
      </c>
    </row>
  </sheetData>
  <mergeCells count="9">
    <mergeCell ref="B14:B15"/>
    <mergeCell ref="H14:H15"/>
    <mergeCell ref="I14:K14"/>
    <mergeCell ref="D13:F13"/>
    <mergeCell ref="C14:C15"/>
    <mergeCell ref="D14:D15"/>
    <mergeCell ref="E14:E15"/>
    <mergeCell ref="F14:F15"/>
    <mergeCell ref="G14:G15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3:M36"/>
  <sheetViews>
    <sheetView workbookViewId="0">
      <selection activeCell="M16" sqref="M16"/>
    </sheetView>
  </sheetViews>
  <sheetFormatPr defaultRowHeight="15" x14ac:dyDescent="0.25"/>
  <cols>
    <col min="1" max="1" width="9.140625" style="43"/>
    <col min="2" max="2" width="20" style="43" bestFit="1" customWidth="1"/>
    <col min="3" max="3" width="27.42578125" style="43" customWidth="1"/>
    <col min="4" max="4" width="19.42578125" style="43" customWidth="1"/>
    <col min="5" max="5" width="6.5703125" style="43" customWidth="1"/>
    <col min="6" max="6" width="12.5703125" style="43" customWidth="1"/>
    <col min="7" max="7" width="8.28515625" style="43" customWidth="1"/>
    <col min="8" max="8" width="9.85546875" style="43" customWidth="1"/>
    <col min="9" max="9" width="6" style="43" customWidth="1"/>
    <col min="10" max="11" width="5" style="43" customWidth="1"/>
    <col min="12" max="13" width="8.28515625" style="43" bestFit="1" customWidth="1"/>
    <col min="14" max="16384" width="9.140625" style="43"/>
  </cols>
  <sheetData>
    <row r="13" spans="2:13" x14ac:dyDescent="0.25">
      <c r="D13" s="135" t="s">
        <v>44</v>
      </c>
      <c r="E13" s="135"/>
      <c r="F13" s="135"/>
    </row>
    <row r="14" spans="2:13" ht="15" customHeight="1" x14ac:dyDescent="0.25">
      <c r="B14" s="132"/>
      <c r="C14" s="136" t="s">
        <v>45</v>
      </c>
      <c r="D14" s="137" t="s">
        <v>70</v>
      </c>
      <c r="E14" s="137" t="s">
        <v>47</v>
      </c>
      <c r="F14" s="137" t="s">
        <v>48</v>
      </c>
      <c r="G14" s="138" t="s">
        <v>55</v>
      </c>
      <c r="H14" s="133" t="s">
        <v>49</v>
      </c>
      <c r="I14" s="134" t="s">
        <v>54</v>
      </c>
      <c r="J14" s="134"/>
      <c r="K14" s="134"/>
    </row>
    <row r="15" spans="2:13" x14ac:dyDescent="0.25">
      <c r="B15" s="132"/>
      <c r="C15" s="136"/>
      <c r="D15" s="137"/>
      <c r="E15" s="137"/>
      <c r="F15" s="137"/>
      <c r="G15" s="139"/>
      <c r="H15" s="133"/>
      <c r="I15" s="18">
        <v>1</v>
      </c>
      <c r="J15" s="18">
        <v>2</v>
      </c>
      <c r="K15" s="18">
        <v>3</v>
      </c>
      <c r="L15" s="19" t="s">
        <v>55</v>
      </c>
    </row>
    <row r="16" spans="2:13" x14ac:dyDescent="0.25">
      <c r="B16" s="44" t="s">
        <v>5</v>
      </c>
      <c r="C16" s="44"/>
      <c r="D16" s="44">
        <v>6.5000000000000002E-2</v>
      </c>
      <c r="E16" s="44">
        <v>6.5000000000000002E-2</v>
      </c>
      <c r="F16" s="44">
        <v>7.0000000000000007E-2</v>
      </c>
      <c r="G16" s="20">
        <f>AVERAGE(D16:F16)</f>
        <v>6.6666666666666666E-2</v>
      </c>
      <c r="H16" s="44">
        <v>0.06</v>
      </c>
      <c r="I16" s="44"/>
      <c r="J16" s="44"/>
      <c r="K16" s="44"/>
      <c r="L16" s="2">
        <v>7.0000000000000001E-3</v>
      </c>
      <c r="M16" s="43" t="s">
        <v>72</v>
      </c>
    </row>
    <row r="17" spans="2:13" x14ac:dyDescent="0.25">
      <c r="B17" s="44" t="s">
        <v>7</v>
      </c>
      <c r="C17" s="44"/>
      <c r="D17" s="44"/>
      <c r="E17" s="44"/>
      <c r="F17" s="44"/>
      <c r="G17" s="20"/>
      <c r="H17" s="44"/>
      <c r="I17" s="44"/>
      <c r="J17" s="44"/>
      <c r="K17" s="44"/>
      <c r="L17" s="2"/>
      <c r="M17" s="43" t="s">
        <v>71</v>
      </c>
    </row>
    <row r="18" spans="2:13" x14ac:dyDescent="0.25">
      <c r="B18" s="44" t="s">
        <v>8</v>
      </c>
      <c r="C18" s="44"/>
      <c r="D18" s="44"/>
      <c r="E18" s="44"/>
      <c r="F18" s="44"/>
      <c r="G18" s="20"/>
      <c r="H18" s="44"/>
      <c r="I18" s="44"/>
      <c r="J18" s="44"/>
      <c r="K18" s="44"/>
      <c r="L18" s="2"/>
      <c r="M18" s="43" t="s">
        <v>71</v>
      </c>
    </row>
    <row r="19" spans="2:13" x14ac:dyDescent="0.25">
      <c r="B19" s="44" t="s">
        <v>9</v>
      </c>
      <c r="C19" s="44">
        <v>0.86</v>
      </c>
      <c r="D19" s="44">
        <v>3.46</v>
      </c>
      <c r="E19" s="44">
        <v>1.0900000000000001</v>
      </c>
      <c r="F19" s="44">
        <v>3.46</v>
      </c>
      <c r="G19" s="20">
        <f t="shared" ref="G19:G35" si="0">(D19+E19+F19)/3</f>
        <v>2.67</v>
      </c>
      <c r="H19" s="44">
        <v>0.61</v>
      </c>
      <c r="I19" s="44"/>
      <c r="J19" s="44"/>
      <c r="K19" s="44"/>
      <c r="L19" s="2">
        <v>20.059999999999999</v>
      </c>
      <c r="M19" s="63" t="s">
        <v>72</v>
      </c>
    </row>
    <row r="20" spans="2:13" x14ac:dyDescent="0.25">
      <c r="B20" s="44" t="s">
        <v>10</v>
      </c>
      <c r="C20" s="44">
        <v>1</v>
      </c>
      <c r="D20" s="44">
        <v>2.16</v>
      </c>
      <c r="E20" s="44">
        <v>0.69</v>
      </c>
      <c r="F20" s="44">
        <v>3.46</v>
      </c>
      <c r="G20" s="20">
        <f t="shared" si="0"/>
        <v>2.1033333333333335</v>
      </c>
      <c r="H20" s="44">
        <v>0.61</v>
      </c>
      <c r="I20" s="44"/>
      <c r="J20" s="44"/>
      <c r="K20" s="44"/>
      <c r="L20" s="2">
        <v>4.91</v>
      </c>
      <c r="M20" s="63" t="s">
        <v>72</v>
      </c>
    </row>
    <row r="21" spans="2:13" x14ac:dyDescent="0.25">
      <c r="B21" s="44" t="s">
        <v>11</v>
      </c>
      <c r="C21" s="44">
        <v>2.39</v>
      </c>
      <c r="D21" s="44">
        <v>3.68</v>
      </c>
      <c r="E21" s="44">
        <v>1.0900000000000001</v>
      </c>
      <c r="F21" s="44">
        <v>3.68</v>
      </c>
      <c r="G21" s="20">
        <f t="shared" si="0"/>
        <v>2.8166666666666669</v>
      </c>
      <c r="H21" s="44">
        <v>0.61</v>
      </c>
      <c r="I21" s="44"/>
      <c r="J21" s="44"/>
      <c r="K21" s="44"/>
      <c r="L21" s="2">
        <v>20.059999999999999</v>
      </c>
      <c r="M21" s="63" t="s">
        <v>72</v>
      </c>
    </row>
    <row r="22" spans="2:13" x14ac:dyDescent="0.25">
      <c r="B22" s="44" t="s">
        <v>67</v>
      </c>
      <c r="C22" s="44">
        <v>2.39</v>
      </c>
      <c r="D22" s="44">
        <v>3.46</v>
      </c>
      <c r="E22" s="44">
        <v>1.0900000000000001</v>
      </c>
      <c r="F22" s="44">
        <v>3.46</v>
      </c>
      <c r="G22" s="20">
        <f t="shared" si="0"/>
        <v>2.67</v>
      </c>
      <c r="H22" s="44">
        <v>0.61</v>
      </c>
      <c r="I22" s="44"/>
      <c r="J22" s="44"/>
      <c r="K22" s="44"/>
      <c r="L22" s="2">
        <v>18.100000000000001</v>
      </c>
      <c r="M22" s="63" t="s">
        <v>72</v>
      </c>
    </row>
    <row r="23" spans="2:13" x14ac:dyDescent="0.25">
      <c r="B23" s="44" t="s">
        <v>12</v>
      </c>
      <c r="C23" s="44">
        <v>0.86</v>
      </c>
      <c r="D23" s="44">
        <v>4.9800000000000004</v>
      </c>
      <c r="E23" s="44">
        <v>0.86</v>
      </c>
      <c r="F23" s="44">
        <v>4.9800000000000004</v>
      </c>
      <c r="G23" s="20">
        <f t="shared" si="0"/>
        <v>3.6066666666666669</v>
      </c>
      <c r="H23" s="44">
        <v>0.86</v>
      </c>
      <c r="I23" s="44"/>
      <c r="J23" s="44"/>
      <c r="K23" s="44"/>
      <c r="L23" s="2">
        <v>21.22</v>
      </c>
      <c r="M23" s="63" t="s">
        <v>72</v>
      </c>
    </row>
    <row r="24" spans="2:13" x14ac:dyDescent="0.25">
      <c r="B24" s="44" t="s">
        <v>13</v>
      </c>
      <c r="C24" s="44"/>
      <c r="D24" s="44"/>
      <c r="E24" s="44"/>
      <c r="F24" s="44"/>
      <c r="G24" s="20">
        <f t="shared" si="0"/>
        <v>0</v>
      </c>
      <c r="H24" s="44"/>
      <c r="I24" s="44"/>
      <c r="J24" s="44"/>
      <c r="K24" s="44"/>
      <c r="L24" s="2">
        <f t="shared" ref="L24:L35" si="1">(I24+J24+K24)*3</f>
        <v>0</v>
      </c>
      <c r="M24" s="43" t="s">
        <v>71</v>
      </c>
    </row>
    <row r="25" spans="2:13" x14ac:dyDescent="0.25">
      <c r="B25" s="44" t="s">
        <v>14</v>
      </c>
      <c r="C25" s="44"/>
      <c r="D25" s="44"/>
      <c r="E25" s="44"/>
      <c r="F25" s="44"/>
      <c r="G25" s="20">
        <f t="shared" si="0"/>
        <v>0</v>
      </c>
      <c r="H25" s="44"/>
      <c r="I25" s="44"/>
      <c r="J25" s="44"/>
      <c r="K25" s="44"/>
      <c r="L25" s="2">
        <f t="shared" si="1"/>
        <v>0</v>
      </c>
      <c r="M25" s="43" t="s">
        <v>71</v>
      </c>
    </row>
    <row r="26" spans="2:13" x14ac:dyDescent="0.25">
      <c r="B26" s="44" t="s">
        <v>15</v>
      </c>
      <c r="C26" s="44"/>
      <c r="D26" s="44"/>
      <c r="E26" s="44"/>
      <c r="F26" s="44"/>
      <c r="G26" s="20">
        <f t="shared" si="0"/>
        <v>0</v>
      </c>
      <c r="H26" s="44"/>
      <c r="I26" s="44"/>
      <c r="J26" s="44"/>
      <c r="K26" s="44"/>
      <c r="L26" s="2">
        <f t="shared" si="1"/>
        <v>0</v>
      </c>
      <c r="M26" s="43" t="s">
        <v>71</v>
      </c>
    </row>
    <row r="27" spans="2:13" x14ac:dyDescent="0.25">
      <c r="B27" s="44" t="s">
        <v>16</v>
      </c>
      <c r="C27" s="44">
        <v>1.3</v>
      </c>
      <c r="D27" s="44">
        <v>2.39</v>
      </c>
      <c r="E27" s="44">
        <v>1.0900000000000001</v>
      </c>
      <c r="F27" s="44">
        <v>3.46</v>
      </c>
      <c r="G27" s="20">
        <f t="shared" si="0"/>
        <v>2.3133333333333335</v>
      </c>
      <c r="H27" s="44">
        <v>0.69</v>
      </c>
      <c r="I27" s="44"/>
      <c r="J27" s="44"/>
      <c r="K27" s="44"/>
      <c r="L27" s="2">
        <v>20.059999999999999</v>
      </c>
      <c r="M27" s="43" t="s">
        <v>72</v>
      </c>
    </row>
    <row r="28" spans="2:13" x14ac:dyDescent="0.25">
      <c r="B28" s="44" t="s">
        <v>1</v>
      </c>
      <c r="C28" s="44">
        <v>0.86</v>
      </c>
      <c r="D28" s="44">
        <v>1.52</v>
      </c>
      <c r="E28" s="44">
        <v>0.65</v>
      </c>
      <c r="F28" s="44">
        <v>3.46</v>
      </c>
      <c r="G28" s="20"/>
      <c r="H28" s="44">
        <v>0.61</v>
      </c>
      <c r="I28" s="44"/>
      <c r="J28" s="44"/>
      <c r="K28" s="44"/>
      <c r="L28" s="2">
        <v>13.97</v>
      </c>
      <c r="M28" s="43" t="s">
        <v>72</v>
      </c>
    </row>
    <row r="29" spans="2:13" x14ac:dyDescent="0.25">
      <c r="B29" s="44" t="s">
        <v>17</v>
      </c>
      <c r="C29" s="44">
        <v>1.3</v>
      </c>
      <c r="D29" s="44">
        <v>2.39</v>
      </c>
      <c r="E29" s="44">
        <v>1.0900000000000001</v>
      </c>
      <c r="F29" s="44">
        <v>3.46</v>
      </c>
      <c r="G29" s="20">
        <f t="shared" si="0"/>
        <v>2.3133333333333335</v>
      </c>
      <c r="H29" s="44">
        <v>0.61</v>
      </c>
      <c r="I29" s="44"/>
      <c r="J29" s="44"/>
      <c r="K29" s="44"/>
      <c r="L29" s="2">
        <v>20.059999999999999</v>
      </c>
      <c r="M29" s="43" t="s">
        <v>72</v>
      </c>
    </row>
    <row r="30" spans="2:13" x14ac:dyDescent="0.25">
      <c r="B30" s="44" t="s">
        <v>18</v>
      </c>
      <c r="C30" s="44"/>
      <c r="D30" s="44"/>
      <c r="E30" s="44"/>
      <c r="F30" s="44"/>
      <c r="G30" s="20">
        <f t="shared" si="0"/>
        <v>0</v>
      </c>
      <c r="H30" s="44"/>
      <c r="I30" s="44"/>
      <c r="J30" s="44"/>
      <c r="K30" s="44"/>
      <c r="L30" s="2">
        <f t="shared" si="1"/>
        <v>0</v>
      </c>
      <c r="M30" s="43" t="s">
        <v>71</v>
      </c>
    </row>
    <row r="31" spans="2:13" x14ac:dyDescent="0.25">
      <c r="B31" s="44" t="s">
        <v>19</v>
      </c>
      <c r="C31" s="44">
        <v>1.3</v>
      </c>
      <c r="D31" s="44">
        <v>2.39</v>
      </c>
      <c r="E31" s="44">
        <v>1.0900000000000001</v>
      </c>
      <c r="F31" s="44">
        <v>3.46</v>
      </c>
      <c r="G31" s="20">
        <f t="shared" si="0"/>
        <v>2.3133333333333335</v>
      </c>
      <c r="H31" s="44">
        <v>0.86</v>
      </c>
      <c r="I31" s="44"/>
      <c r="J31" s="44"/>
      <c r="K31" s="44"/>
      <c r="L31" s="2">
        <v>10.95</v>
      </c>
      <c r="M31" s="43" t="s">
        <v>72</v>
      </c>
    </row>
    <row r="32" spans="2:13" x14ac:dyDescent="0.25">
      <c r="B32" s="44" t="s">
        <v>20</v>
      </c>
      <c r="C32" s="44">
        <v>1</v>
      </c>
      <c r="D32" s="44">
        <v>2.16</v>
      </c>
      <c r="E32" s="44">
        <v>0.69</v>
      </c>
      <c r="F32" s="44">
        <v>3.46</v>
      </c>
      <c r="G32" s="20">
        <f t="shared" si="0"/>
        <v>2.1033333333333335</v>
      </c>
      <c r="H32" s="44">
        <v>0.61</v>
      </c>
      <c r="K32" s="44"/>
      <c r="L32" s="2">
        <v>20.059999999999999</v>
      </c>
      <c r="M32" s="43" t="s">
        <v>72</v>
      </c>
    </row>
    <row r="33" spans="2:13" x14ac:dyDescent="0.25">
      <c r="B33" s="44" t="s">
        <v>52</v>
      </c>
      <c r="C33" s="44">
        <v>0.86</v>
      </c>
      <c r="D33" s="44">
        <v>2.39</v>
      </c>
      <c r="E33" s="44">
        <v>0.86</v>
      </c>
      <c r="F33" s="44">
        <v>3.46</v>
      </c>
      <c r="G33" s="20">
        <f>(D33+E33+F33)/3</f>
        <v>2.2366666666666668</v>
      </c>
      <c r="H33" s="44">
        <v>0.69</v>
      </c>
      <c r="I33" s="44"/>
      <c r="J33" s="44"/>
      <c r="K33" s="44"/>
      <c r="L33" s="2">
        <v>16.72</v>
      </c>
      <c r="M33" s="43" t="s">
        <v>72</v>
      </c>
    </row>
    <row r="34" spans="2:13" x14ac:dyDescent="0.25">
      <c r="B34" s="44" t="s">
        <v>50</v>
      </c>
      <c r="C34" s="44">
        <v>3.03</v>
      </c>
      <c r="D34" s="44">
        <v>2.39</v>
      </c>
      <c r="E34" s="44">
        <v>0.66</v>
      </c>
      <c r="F34" s="44">
        <v>3.46</v>
      </c>
      <c r="G34" s="20">
        <f t="shared" si="0"/>
        <v>2.17</v>
      </c>
      <c r="H34" s="44">
        <v>0.69</v>
      </c>
      <c r="I34" s="44"/>
      <c r="J34" s="44"/>
      <c r="K34" s="44"/>
      <c r="L34" s="2">
        <v>18.18</v>
      </c>
      <c r="M34" s="43" t="s">
        <v>72</v>
      </c>
    </row>
    <row r="35" spans="2:13" x14ac:dyDescent="0.25">
      <c r="B35" s="44" t="s">
        <v>53</v>
      </c>
      <c r="C35" s="44"/>
      <c r="D35" s="44"/>
      <c r="E35" s="44"/>
      <c r="F35" s="44"/>
      <c r="G35" s="20">
        <f t="shared" si="0"/>
        <v>0</v>
      </c>
      <c r="H35" s="44"/>
      <c r="I35" s="44"/>
      <c r="J35" s="44"/>
      <c r="K35" s="44"/>
      <c r="L35" s="2">
        <f t="shared" si="1"/>
        <v>0</v>
      </c>
      <c r="M35" s="43" t="s">
        <v>71</v>
      </c>
    </row>
    <row r="36" spans="2:13" x14ac:dyDescent="0.25">
      <c r="B36" s="44" t="s">
        <v>51</v>
      </c>
      <c r="C36" s="44">
        <v>1.3</v>
      </c>
      <c r="D36" s="44">
        <v>4.32</v>
      </c>
      <c r="E36" s="44">
        <v>1.3</v>
      </c>
      <c r="F36" s="44">
        <v>4.32</v>
      </c>
      <c r="G36" s="20">
        <f>(D36+E36+F36)/3</f>
        <v>3.3133333333333339</v>
      </c>
      <c r="H36" s="44">
        <v>0.61</v>
      </c>
      <c r="I36" s="44"/>
      <c r="J36" s="44"/>
      <c r="K36" s="44"/>
      <c r="L36" s="2">
        <v>17.420000000000002</v>
      </c>
      <c r="M36" s="43" t="s">
        <v>72</v>
      </c>
    </row>
  </sheetData>
  <mergeCells count="9">
    <mergeCell ref="G14:G15"/>
    <mergeCell ref="H14:H15"/>
    <mergeCell ref="I14:K14"/>
    <mergeCell ref="D13:F13"/>
    <mergeCell ref="B14:B15"/>
    <mergeCell ref="C14:C15"/>
    <mergeCell ref="D14:D15"/>
    <mergeCell ref="E14:E15"/>
    <mergeCell ref="F14:F15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3:L35"/>
  <sheetViews>
    <sheetView workbookViewId="0">
      <selection activeCell="O30" sqref="O30"/>
    </sheetView>
  </sheetViews>
  <sheetFormatPr defaultRowHeight="15" x14ac:dyDescent="0.25"/>
  <cols>
    <col min="2" max="2" width="20" bestFit="1" customWidth="1"/>
    <col min="3" max="3" width="27.42578125" bestFit="1" customWidth="1"/>
    <col min="4" max="5" width="12.7109375" customWidth="1"/>
    <col min="6" max="6" width="12.5703125" bestFit="1" customWidth="1"/>
    <col min="7" max="7" width="8.28515625" bestFit="1" customWidth="1"/>
    <col min="8" max="8" width="16.28515625" customWidth="1"/>
    <col min="9" max="9" width="7.5703125" customWidth="1"/>
    <col min="10" max="10" width="8.140625" customWidth="1"/>
    <col min="11" max="11" width="8" customWidth="1"/>
    <col min="12" max="12" width="8.28515625" bestFit="1" customWidth="1"/>
  </cols>
  <sheetData>
    <row r="13" spans="2:12" x14ac:dyDescent="0.25">
      <c r="B13" s="43"/>
      <c r="C13" s="43"/>
      <c r="D13" s="135" t="s">
        <v>44</v>
      </c>
      <c r="E13" s="135"/>
      <c r="F13" s="135"/>
      <c r="G13" s="43"/>
      <c r="H13" s="43"/>
      <c r="I13" s="43"/>
      <c r="J13" s="43"/>
      <c r="K13" s="43"/>
      <c r="L13" s="43"/>
    </row>
    <row r="14" spans="2:12" x14ac:dyDescent="0.25">
      <c r="B14" s="132"/>
      <c r="C14" s="136" t="s">
        <v>45</v>
      </c>
      <c r="D14" s="137" t="s">
        <v>75</v>
      </c>
      <c r="E14" s="137" t="s">
        <v>47</v>
      </c>
      <c r="F14" s="137" t="s">
        <v>48</v>
      </c>
      <c r="G14" s="138" t="s">
        <v>55</v>
      </c>
      <c r="H14" s="133" t="s">
        <v>49</v>
      </c>
      <c r="I14" s="134" t="s">
        <v>54</v>
      </c>
      <c r="J14" s="134"/>
      <c r="K14" s="134"/>
      <c r="L14" s="43"/>
    </row>
    <row r="15" spans="2:12" x14ac:dyDescent="0.25">
      <c r="B15" s="132"/>
      <c r="C15" s="136"/>
      <c r="D15" s="137"/>
      <c r="E15" s="137"/>
      <c r="F15" s="137"/>
      <c r="G15" s="139"/>
      <c r="H15" s="133"/>
      <c r="I15" s="18">
        <v>1</v>
      </c>
      <c r="J15" s="18">
        <v>2</v>
      </c>
      <c r="K15" s="18">
        <v>3</v>
      </c>
      <c r="L15" s="19" t="s">
        <v>55</v>
      </c>
    </row>
    <row r="16" spans="2:12" x14ac:dyDescent="0.25">
      <c r="B16" s="44" t="s">
        <v>5</v>
      </c>
      <c r="C16" s="44">
        <v>1.1599999999999999</v>
      </c>
      <c r="D16" s="44">
        <v>2.59</v>
      </c>
      <c r="E16" s="44">
        <v>1.23</v>
      </c>
      <c r="F16" s="44">
        <v>3.54</v>
      </c>
      <c r="G16" s="20">
        <f>(D16+E16+F16)/3</f>
        <v>2.4533333333333331</v>
      </c>
      <c r="H16" s="44">
        <v>0.54</v>
      </c>
      <c r="I16" s="44">
        <v>9.5</v>
      </c>
      <c r="J16" s="44">
        <v>5.5</v>
      </c>
      <c r="K16" s="44"/>
      <c r="L16" s="2">
        <f>AVERAGE(I16:K16)</f>
        <v>7.5</v>
      </c>
    </row>
    <row r="17" spans="2:12" x14ac:dyDescent="0.25">
      <c r="B17" s="44" t="s">
        <v>7</v>
      </c>
      <c r="C17" s="44">
        <v>1.1599999999999999</v>
      </c>
      <c r="D17" s="44">
        <v>2.59</v>
      </c>
      <c r="E17" s="44">
        <v>1.23</v>
      </c>
      <c r="F17" s="44">
        <v>3.54</v>
      </c>
      <c r="G17" s="20">
        <f t="shared" ref="G17:G35" si="0">(D17+E17+F17)/3</f>
        <v>2.4533333333333331</v>
      </c>
      <c r="H17" s="44">
        <v>0.54</v>
      </c>
      <c r="I17" s="44">
        <v>9.5</v>
      </c>
      <c r="J17" s="44">
        <v>5.5</v>
      </c>
      <c r="K17" s="44"/>
      <c r="L17" s="2">
        <f t="shared" ref="L17:L35" si="1">AVERAGE(I17:K17)</f>
        <v>7.5</v>
      </c>
    </row>
    <row r="18" spans="2:12" x14ac:dyDescent="0.25">
      <c r="B18" s="81" t="s">
        <v>8</v>
      </c>
      <c r="C18" s="44">
        <v>0.34</v>
      </c>
      <c r="D18" s="44">
        <v>0.65</v>
      </c>
      <c r="E18" s="44">
        <v>0.27</v>
      </c>
      <c r="F18" s="44">
        <v>2.4500000000000002</v>
      </c>
      <c r="G18" s="20">
        <f t="shared" si="0"/>
        <v>1.1233333333333333</v>
      </c>
      <c r="H18" s="44">
        <v>0.34</v>
      </c>
      <c r="I18" s="44">
        <v>9.5</v>
      </c>
      <c r="J18" s="44">
        <v>5.5</v>
      </c>
      <c r="K18" s="44"/>
      <c r="L18" s="2">
        <f t="shared" si="1"/>
        <v>7.5</v>
      </c>
    </row>
    <row r="19" spans="2:12" x14ac:dyDescent="0.25">
      <c r="B19" s="44" t="s">
        <v>9</v>
      </c>
      <c r="C19" s="44">
        <v>1.1599999999999999</v>
      </c>
      <c r="D19" s="44">
        <v>2.59</v>
      </c>
      <c r="E19" s="44">
        <v>1.23</v>
      </c>
      <c r="F19" s="44">
        <v>3.54</v>
      </c>
      <c r="G19" s="20">
        <f t="shared" si="0"/>
        <v>2.4533333333333331</v>
      </c>
      <c r="H19" s="44">
        <v>0.54</v>
      </c>
      <c r="I19" s="44">
        <v>9.5</v>
      </c>
      <c r="J19" s="44">
        <v>5.5</v>
      </c>
      <c r="K19" s="44"/>
      <c r="L19" s="2">
        <f t="shared" si="1"/>
        <v>7.5</v>
      </c>
    </row>
    <row r="20" spans="2:12" x14ac:dyDescent="0.25">
      <c r="B20" s="44" t="s">
        <v>10</v>
      </c>
      <c r="C20" s="44">
        <v>1.1599999999999999</v>
      </c>
      <c r="D20" s="44">
        <v>2.59</v>
      </c>
      <c r="E20" s="44">
        <v>1.23</v>
      </c>
      <c r="F20" s="44">
        <v>3.54</v>
      </c>
      <c r="G20" s="20">
        <f t="shared" si="0"/>
        <v>2.4533333333333331</v>
      </c>
      <c r="H20" s="44">
        <v>0.54</v>
      </c>
      <c r="I20" s="44">
        <v>9.5</v>
      </c>
      <c r="J20" s="44">
        <v>5.5</v>
      </c>
      <c r="K20" s="44"/>
      <c r="L20" s="2">
        <f t="shared" si="1"/>
        <v>7.5</v>
      </c>
    </row>
    <row r="21" spans="2:12" x14ac:dyDescent="0.25">
      <c r="B21" s="44" t="s">
        <v>11</v>
      </c>
      <c r="C21" s="44">
        <v>1.1599999999999999</v>
      </c>
      <c r="D21" s="44">
        <v>2.59</v>
      </c>
      <c r="E21" s="44">
        <v>1.23</v>
      </c>
      <c r="F21" s="44">
        <v>3.54</v>
      </c>
      <c r="G21" s="20">
        <f t="shared" si="0"/>
        <v>2.4533333333333331</v>
      </c>
      <c r="H21" s="44">
        <v>0.54</v>
      </c>
      <c r="I21" s="44">
        <v>9.5</v>
      </c>
      <c r="J21" s="44">
        <v>5.5</v>
      </c>
      <c r="K21" s="44"/>
      <c r="L21" s="2">
        <f t="shared" si="1"/>
        <v>7.5</v>
      </c>
    </row>
    <row r="22" spans="2:12" x14ac:dyDescent="0.25">
      <c r="B22" s="44" t="s">
        <v>67</v>
      </c>
      <c r="C22" s="44">
        <v>1.1599999999999999</v>
      </c>
      <c r="D22" s="44">
        <v>2.59</v>
      </c>
      <c r="E22" s="44">
        <v>1.23</v>
      </c>
      <c r="F22" s="44">
        <v>3.54</v>
      </c>
      <c r="G22" s="20">
        <f t="shared" si="0"/>
        <v>2.4533333333333331</v>
      </c>
      <c r="H22" s="44">
        <v>0.54</v>
      </c>
      <c r="I22" s="44">
        <v>9.5</v>
      </c>
      <c r="J22" s="44">
        <v>5.5</v>
      </c>
      <c r="K22" s="44"/>
      <c r="L22" s="2">
        <f t="shared" si="1"/>
        <v>7.5</v>
      </c>
    </row>
    <row r="23" spans="2:12" x14ac:dyDescent="0.25">
      <c r="B23" s="81" t="s">
        <v>12</v>
      </c>
      <c r="C23" s="44">
        <v>0.34</v>
      </c>
      <c r="D23" s="44">
        <v>0.65</v>
      </c>
      <c r="E23" s="44">
        <v>0.27</v>
      </c>
      <c r="F23" s="44">
        <v>2.4500000000000002</v>
      </c>
      <c r="G23" s="20">
        <f t="shared" si="0"/>
        <v>1.1233333333333333</v>
      </c>
      <c r="H23" s="44">
        <v>0.34</v>
      </c>
      <c r="I23" s="44">
        <v>9.5</v>
      </c>
      <c r="J23" s="44">
        <v>5.5</v>
      </c>
      <c r="K23" s="44"/>
      <c r="L23" s="2">
        <f t="shared" si="1"/>
        <v>7.5</v>
      </c>
    </row>
    <row r="24" spans="2:12" x14ac:dyDescent="0.25">
      <c r="B24" s="82" t="s">
        <v>13</v>
      </c>
      <c r="C24" s="44">
        <v>1.1599999999999999</v>
      </c>
      <c r="D24" s="44">
        <v>2.59</v>
      </c>
      <c r="E24" s="44">
        <v>1.23</v>
      </c>
      <c r="F24" s="44">
        <v>3.54</v>
      </c>
      <c r="G24" s="20">
        <f t="shared" si="0"/>
        <v>2.4533333333333331</v>
      </c>
      <c r="H24" s="44">
        <v>0.54</v>
      </c>
      <c r="I24" s="44">
        <v>9.5</v>
      </c>
      <c r="J24" s="44">
        <v>5.5</v>
      </c>
      <c r="K24" s="44"/>
      <c r="L24" s="2">
        <f t="shared" si="1"/>
        <v>7.5</v>
      </c>
    </row>
    <row r="25" spans="2:12" x14ac:dyDescent="0.25">
      <c r="B25" s="44" t="s">
        <v>14</v>
      </c>
      <c r="C25" s="44">
        <v>1.1599999999999999</v>
      </c>
      <c r="D25" s="44">
        <v>2.59</v>
      </c>
      <c r="E25" s="44">
        <v>1.23</v>
      </c>
      <c r="F25" s="44">
        <v>3.54</v>
      </c>
      <c r="G25" s="20">
        <f t="shared" si="0"/>
        <v>2.4533333333333331</v>
      </c>
      <c r="H25" s="44">
        <v>0.54</v>
      </c>
      <c r="I25" s="44">
        <v>9.5</v>
      </c>
      <c r="J25" s="44">
        <v>5.5</v>
      </c>
      <c r="K25" s="44"/>
      <c r="L25" s="2">
        <f t="shared" si="1"/>
        <v>7.5</v>
      </c>
    </row>
    <row r="26" spans="2:12" x14ac:dyDescent="0.25">
      <c r="B26" s="44" t="s">
        <v>15</v>
      </c>
      <c r="C26" s="44">
        <v>1.1599999999999999</v>
      </c>
      <c r="D26" s="44">
        <v>2.59</v>
      </c>
      <c r="E26" s="44">
        <v>1.23</v>
      </c>
      <c r="F26" s="44">
        <v>3.54</v>
      </c>
      <c r="G26" s="20">
        <f t="shared" si="0"/>
        <v>2.4533333333333331</v>
      </c>
      <c r="H26" s="44">
        <v>0.54</v>
      </c>
      <c r="I26" s="44">
        <v>9.5</v>
      </c>
      <c r="J26" s="44">
        <v>5.5</v>
      </c>
      <c r="K26" s="44"/>
      <c r="L26" s="2">
        <f t="shared" si="1"/>
        <v>7.5</v>
      </c>
    </row>
    <row r="27" spans="2:12" x14ac:dyDescent="0.25">
      <c r="B27" s="81" t="s">
        <v>16</v>
      </c>
      <c r="C27" s="44">
        <v>0.34</v>
      </c>
      <c r="D27" s="44">
        <v>0.65</v>
      </c>
      <c r="E27" s="44">
        <v>0.27</v>
      </c>
      <c r="F27" s="44">
        <v>2.4500000000000002</v>
      </c>
      <c r="G27" s="20">
        <f t="shared" si="0"/>
        <v>1.1233333333333333</v>
      </c>
      <c r="H27" s="44">
        <v>0.34</v>
      </c>
      <c r="I27" s="44">
        <v>9.5</v>
      </c>
      <c r="J27" s="44">
        <v>5.5</v>
      </c>
      <c r="K27" s="44"/>
      <c r="L27" s="2">
        <f t="shared" si="1"/>
        <v>7.5</v>
      </c>
    </row>
    <row r="28" spans="2:12" x14ac:dyDescent="0.25">
      <c r="B28" s="44" t="s">
        <v>17</v>
      </c>
      <c r="C28" s="44">
        <v>1.1599999999999999</v>
      </c>
      <c r="D28" s="44">
        <v>2.59</v>
      </c>
      <c r="E28" s="44">
        <v>1.23</v>
      </c>
      <c r="F28" s="44">
        <v>3.54</v>
      </c>
      <c r="G28" s="20">
        <f t="shared" si="0"/>
        <v>2.4533333333333331</v>
      </c>
      <c r="H28" s="44">
        <v>0.54</v>
      </c>
      <c r="I28" s="44">
        <v>9.5</v>
      </c>
      <c r="J28" s="44">
        <v>5.5</v>
      </c>
      <c r="K28" s="44"/>
      <c r="L28" s="2">
        <f t="shared" si="1"/>
        <v>7.5</v>
      </c>
    </row>
    <row r="29" spans="2:12" x14ac:dyDescent="0.25">
      <c r="B29" s="44" t="s">
        <v>18</v>
      </c>
      <c r="C29" s="44">
        <v>1.1599999999999999</v>
      </c>
      <c r="D29" s="44">
        <v>2.59</v>
      </c>
      <c r="E29" s="44">
        <v>1.23</v>
      </c>
      <c r="F29" s="44">
        <v>3.54</v>
      </c>
      <c r="G29" s="20">
        <f t="shared" si="0"/>
        <v>2.4533333333333331</v>
      </c>
      <c r="H29" s="44">
        <v>0.54</v>
      </c>
      <c r="I29" s="44">
        <v>9.5</v>
      </c>
      <c r="J29" s="44">
        <v>5.5</v>
      </c>
      <c r="K29" s="44"/>
      <c r="L29" s="2">
        <f t="shared" si="1"/>
        <v>7.5</v>
      </c>
    </row>
    <row r="30" spans="2:12" x14ac:dyDescent="0.25">
      <c r="B30" s="44" t="s">
        <v>19</v>
      </c>
      <c r="C30" s="44">
        <v>1.1599999999999999</v>
      </c>
      <c r="D30" s="44">
        <v>2.59</v>
      </c>
      <c r="E30" s="44">
        <v>1.23</v>
      </c>
      <c r="F30" s="44">
        <v>3.54</v>
      </c>
      <c r="G30" s="20">
        <f t="shared" si="0"/>
        <v>2.4533333333333331</v>
      </c>
      <c r="H30" s="44">
        <v>0.54</v>
      </c>
      <c r="I30" s="44">
        <v>9.5</v>
      </c>
      <c r="J30" s="44">
        <v>5.5</v>
      </c>
      <c r="K30" s="44"/>
      <c r="L30" s="2">
        <f t="shared" si="1"/>
        <v>7.5</v>
      </c>
    </row>
    <row r="31" spans="2:12" x14ac:dyDescent="0.25">
      <c r="B31" s="44" t="s">
        <v>20</v>
      </c>
      <c r="C31" s="44">
        <v>1.1599999999999999</v>
      </c>
      <c r="D31" s="44">
        <v>2.59</v>
      </c>
      <c r="E31" s="44">
        <v>1.23</v>
      </c>
      <c r="F31" s="44">
        <v>3.54</v>
      </c>
      <c r="G31" s="20">
        <f t="shared" si="0"/>
        <v>2.4533333333333331</v>
      </c>
      <c r="H31" s="44">
        <v>0.54</v>
      </c>
      <c r="I31" s="44">
        <v>9.5</v>
      </c>
      <c r="J31" s="44">
        <v>5.5</v>
      </c>
      <c r="K31" s="44"/>
      <c r="L31" s="2">
        <f t="shared" si="1"/>
        <v>7.5</v>
      </c>
    </row>
    <row r="32" spans="2:12" x14ac:dyDescent="0.25">
      <c r="B32" s="81" t="s">
        <v>50</v>
      </c>
      <c r="C32" s="44">
        <v>0.34</v>
      </c>
      <c r="D32" s="44">
        <v>0.65</v>
      </c>
      <c r="E32" s="44">
        <v>0.27</v>
      </c>
      <c r="F32" s="44">
        <v>2.4500000000000002</v>
      </c>
      <c r="G32" s="20">
        <f t="shared" si="0"/>
        <v>1.1233333333333333</v>
      </c>
      <c r="H32" s="44">
        <v>0.34</v>
      </c>
      <c r="I32" s="44">
        <v>9.5</v>
      </c>
      <c r="J32" s="44">
        <v>5.5</v>
      </c>
      <c r="K32" s="44"/>
      <c r="L32" s="2">
        <f t="shared" si="1"/>
        <v>7.5</v>
      </c>
    </row>
    <row r="33" spans="2:12" x14ac:dyDescent="0.25">
      <c r="B33" s="44" t="s">
        <v>51</v>
      </c>
      <c r="C33" s="44">
        <v>1.1599999999999999</v>
      </c>
      <c r="D33" s="44">
        <v>2.59</v>
      </c>
      <c r="E33" s="44">
        <v>1.23</v>
      </c>
      <c r="F33" s="44">
        <v>3.54</v>
      </c>
      <c r="G33" s="20">
        <f t="shared" si="0"/>
        <v>2.4533333333333331</v>
      </c>
      <c r="H33" s="44">
        <v>0.54</v>
      </c>
      <c r="I33" s="44">
        <v>9.5</v>
      </c>
      <c r="J33" s="44">
        <v>5.5</v>
      </c>
      <c r="K33" s="44"/>
      <c r="L33" s="2">
        <f t="shared" si="1"/>
        <v>7.5</v>
      </c>
    </row>
    <row r="34" spans="2:12" x14ac:dyDescent="0.25">
      <c r="B34" s="81" t="s">
        <v>52</v>
      </c>
      <c r="C34" s="44">
        <v>0.34</v>
      </c>
      <c r="D34" s="44">
        <v>0.65</v>
      </c>
      <c r="E34" s="44">
        <v>0.27</v>
      </c>
      <c r="F34" s="44">
        <v>2.4500000000000002</v>
      </c>
      <c r="G34" s="20">
        <f t="shared" si="0"/>
        <v>1.1233333333333333</v>
      </c>
      <c r="H34" s="44">
        <v>0.34</v>
      </c>
      <c r="I34" s="44">
        <v>9.5</v>
      </c>
      <c r="J34" s="44">
        <v>5.5</v>
      </c>
      <c r="K34" s="44"/>
      <c r="L34" s="2">
        <f t="shared" si="1"/>
        <v>7.5</v>
      </c>
    </row>
    <row r="35" spans="2:12" x14ac:dyDescent="0.25">
      <c r="B35" s="44" t="s">
        <v>53</v>
      </c>
      <c r="C35" s="44">
        <v>1.1599999999999999</v>
      </c>
      <c r="D35" s="44">
        <v>2.59</v>
      </c>
      <c r="E35" s="44">
        <v>1.23</v>
      </c>
      <c r="F35" s="44">
        <v>3.54</v>
      </c>
      <c r="G35" s="20">
        <f t="shared" si="0"/>
        <v>2.4533333333333331</v>
      </c>
      <c r="H35" s="44">
        <v>0.54</v>
      </c>
      <c r="I35" s="44">
        <v>9.5</v>
      </c>
      <c r="J35" s="44">
        <v>5.5</v>
      </c>
      <c r="K35" s="44"/>
      <c r="L35" s="2">
        <f t="shared" si="1"/>
        <v>7.5</v>
      </c>
    </row>
  </sheetData>
  <mergeCells count="9">
    <mergeCell ref="G14:G15"/>
    <mergeCell ref="H14:H15"/>
    <mergeCell ref="I14:K14"/>
    <mergeCell ref="D13:F13"/>
    <mergeCell ref="B14:B15"/>
    <mergeCell ref="C14:C15"/>
    <mergeCell ref="D14:D15"/>
    <mergeCell ref="E14:E15"/>
    <mergeCell ref="F14:F1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3:M36"/>
  <sheetViews>
    <sheetView topLeftCell="A7" workbookViewId="0">
      <selection activeCell="M37" sqref="M37"/>
    </sheetView>
  </sheetViews>
  <sheetFormatPr defaultRowHeight="15" x14ac:dyDescent="0.25"/>
  <cols>
    <col min="2" max="2" width="20" bestFit="1" customWidth="1"/>
    <col min="3" max="3" width="27.42578125" bestFit="1" customWidth="1"/>
    <col min="4" max="4" width="11.85546875" bestFit="1" customWidth="1"/>
    <col min="5" max="5" width="5.42578125" bestFit="1" customWidth="1"/>
    <col min="6" max="6" width="12.5703125" bestFit="1" customWidth="1"/>
    <col min="7" max="7" width="8.28515625" bestFit="1" customWidth="1"/>
    <col min="8" max="8" width="9.85546875" bestFit="1" customWidth="1"/>
    <col min="9" max="9" width="5.5703125" bestFit="1" customWidth="1"/>
    <col min="10" max="11" width="4.5703125" bestFit="1" customWidth="1"/>
    <col min="12" max="12" width="8.28515625" bestFit="1" customWidth="1"/>
  </cols>
  <sheetData>
    <row r="13" spans="2:13" x14ac:dyDescent="0.25">
      <c r="B13" s="43"/>
      <c r="C13" s="43"/>
      <c r="D13" s="135" t="s">
        <v>44</v>
      </c>
      <c r="E13" s="135"/>
      <c r="F13" s="135"/>
      <c r="G13" s="43"/>
      <c r="H13" s="43"/>
      <c r="I13" s="43"/>
      <c r="J13" s="43"/>
      <c r="K13" s="43"/>
      <c r="L13" s="43"/>
    </row>
    <row r="14" spans="2:13" x14ac:dyDescent="0.25">
      <c r="B14" s="132"/>
      <c r="C14" s="136" t="s">
        <v>45</v>
      </c>
      <c r="D14" s="137" t="s">
        <v>76</v>
      </c>
      <c r="E14" s="137" t="s">
        <v>47</v>
      </c>
      <c r="F14" s="137" t="s">
        <v>48</v>
      </c>
      <c r="G14" s="138" t="s">
        <v>55</v>
      </c>
      <c r="H14" s="133" t="s">
        <v>49</v>
      </c>
      <c r="I14" s="134" t="s">
        <v>54</v>
      </c>
      <c r="J14" s="134"/>
      <c r="K14" s="134"/>
      <c r="L14" s="43"/>
    </row>
    <row r="15" spans="2:13" x14ac:dyDescent="0.25">
      <c r="B15" s="132"/>
      <c r="C15" s="136"/>
      <c r="D15" s="137"/>
      <c r="E15" s="137"/>
      <c r="F15" s="137"/>
      <c r="G15" s="139"/>
      <c r="H15" s="133"/>
      <c r="I15" s="18">
        <v>1</v>
      </c>
      <c r="J15" s="18">
        <v>2</v>
      </c>
      <c r="K15" s="18">
        <v>3</v>
      </c>
      <c r="L15" s="19" t="s">
        <v>55</v>
      </c>
    </row>
    <row r="16" spans="2:13" x14ac:dyDescent="0.25">
      <c r="B16" s="44" t="s">
        <v>5</v>
      </c>
      <c r="C16" s="83">
        <v>0.73684210526315785</v>
      </c>
      <c r="D16" s="83">
        <v>3.1578947368421053</v>
      </c>
      <c r="E16" s="83">
        <v>3.1578947368421053</v>
      </c>
      <c r="F16" s="83">
        <v>3.1578947368421053</v>
      </c>
      <c r="G16" s="20">
        <f>AVERAGE(D16:F16)</f>
        <v>3.1578947368421049</v>
      </c>
      <c r="H16" s="83">
        <v>0.75789473684210529</v>
      </c>
      <c r="I16" s="83">
        <v>15.157894736842104</v>
      </c>
      <c r="J16" s="83">
        <v>0</v>
      </c>
      <c r="K16" s="83">
        <v>0</v>
      </c>
      <c r="L16" s="84">
        <v>15.157894736842104</v>
      </c>
      <c r="M16" t="s">
        <v>72</v>
      </c>
    </row>
    <row r="17" spans="2:13" x14ac:dyDescent="0.25">
      <c r="B17" s="44" t="s">
        <v>7</v>
      </c>
      <c r="C17" s="83">
        <v>0.31578947368421051</v>
      </c>
      <c r="D17" s="83">
        <v>1.368421052631579</v>
      </c>
      <c r="E17" s="83">
        <v>1.368421052631579</v>
      </c>
      <c r="F17" s="83">
        <v>1.368421052631579</v>
      </c>
      <c r="G17" s="20">
        <f t="shared" ref="G17:G36" si="0">AVERAGE(D17:F17)</f>
        <v>1.368421052631579</v>
      </c>
      <c r="H17" s="83">
        <v>0.37894736842105264</v>
      </c>
      <c r="I17" s="83">
        <v>6.9473684210526319</v>
      </c>
      <c r="J17" s="83">
        <v>0</v>
      </c>
      <c r="K17" s="83">
        <v>0</v>
      </c>
      <c r="L17" s="84">
        <v>6.9473684210526319</v>
      </c>
      <c r="M17" t="s">
        <v>72</v>
      </c>
    </row>
    <row r="18" spans="2:13" x14ac:dyDescent="0.25">
      <c r="B18" s="44" t="s">
        <v>8</v>
      </c>
      <c r="C18" s="83">
        <v>0.73684210526315785</v>
      </c>
      <c r="D18" s="83">
        <v>3.1578947368421053</v>
      </c>
      <c r="E18" s="83">
        <v>3.1578947368421053</v>
      </c>
      <c r="F18" s="83">
        <v>3.1578947368421053</v>
      </c>
      <c r="G18" s="20">
        <f t="shared" si="0"/>
        <v>3.1578947368421049</v>
      </c>
      <c r="H18" s="83">
        <v>0.75789473684210529</v>
      </c>
      <c r="I18" s="83">
        <v>15.157894736842104</v>
      </c>
      <c r="J18" s="83">
        <v>0</v>
      </c>
      <c r="K18" s="83">
        <v>0</v>
      </c>
      <c r="L18" s="84">
        <v>15.157894736842104</v>
      </c>
      <c r="M18" t="s">
        <v>72</v>
      </c>
    </row>
    <row r="19" spans="2:13" x14ac:dyDescent="0.25">
      <c r="B19" s="44" t="s">
        <v>9</v>
      </c>
      <c r="C19" s="83">
        <v>0.31578947368421051</v>
      </c>
      <c r="D19" s="83">
        <v>1.368421052631579</v>
      </c>
      <c r="E19" s="83">
        <v>1.368421052631579</v>
      </c>
      <c r="F19" s="83">
        <v>1.368421052631579</v>
      </c>
      <c r="G19" s="20">
        <f t="shared" si="0"/>
        <v>1.368421052631579</v>
      </c>
      <c r="H19" s="83">
        <v>0.37894736842105264</v>
      </c>
      <c r="I19" s="83">
        <v>6.9473684210526319</v>
      </c>
      <c r="J19" s="83">
        <v>0</v>
      </c>
      <c r="K19" s="83">
        <v>0</v>
      </c>
      <c r="L19" s="84">
        <v>6.9473684210526319</v>
      </c>
      <c r="M19" t="s">
        <v>72</v>
      </c>
    </row>
    <row r="20" spans="2:13" x14ac:dyDescent="0.25">
      <c r="B20" s="44" t="s">
        <v>10</v>
      </c>
      <c r="C20" s="83">
        <v>0.73684210526315785</v>
      </c>
      <c r="D20" s="83">
        <v>3.1578947368421053</v>
      </c>
      <c r="E20" s="83">
        <v>3.1578947368421053</v>
      </c>
      <c r="F20" s="83">
        <v>3.1578947368421053</v>
      </c>
      <c r="G20" s="20">
        <f t="shared" si="0"/>
        <v>3.1578947368421049</v>
      </c>
      <c r="H20" s="83">
        <v>0.75789473684210529</v>
      </c>
      <c r="I20" s="83">
        <v>15.157894736842104</v>
      </c>
      <c r="J20" s="83">
        <v>0</v>
      </c>
      <c r="K20" s="83">
        <v>0</v>
      </c>
      <c r="L20" s="84">
        <v>15.157894736842104</v>
      </c>
      <c r="M20" t="s">
        <v>72</v>
      </c>
    </row>
    <row r="21" spans="2:13" x14ac:dyDescent="0.25">
      <c r="B21" s="44" t="s">
        <v>11</v>
      </c>
      <c r="C21" s="83">
        <v>0.73684210526315785</v>
      </c>
      <c r="D21" s="83">
        <v>3.1578947368421053</v>
      </c>
      <c r="E21" s="83">
        <v>3.1578947368421053</v>
      </c>
      <c r="F21" s="83">
        <v>3.1578947368421053</v>
      </c>
      <c r="G21" s="20">
        <f t="shared" si="0"/>
        <v>3.1578947368421049</v>
      </c>
      <c r="H21" s="83">
        <v>0.75789473684210529</v>
      </c>
      <c r="I21" s="83">
        <v>15.157894736842104</v>
      </c>
      <c r="J21" s="83">
        <v>0</v>
      </c>
      <c r="K21" s="83">
        <v>0</v>
      </c>
      <c r="L21" s="84">
        <v>15.157894736842104</v>
      </c>
      <c r="M21" t="s">
        <v>72</v>
      </c>
    </row>
    <row r="22" spans="2:13" x14ac:dyDescent="0.25">
      <c r="B22" s="44" t="s">
        <v>67</v>
      </c>
      <c r="C22" s="83">
        <v>0.73684210526315785</v>
      </c>
      <c r="D22" s="83">
        <v>3.1578947368421053</v>
      </c>
      <c r="E22" s="83">
        <v>3.1578947368421053</v>
      </c>
      <c r="F22" s="83">
        <v>3.1578947368421053</v>
      </c>
      <c r="G22" s="20">
        <f t="shared" si="0"/>
        <v>3.1578947368421049</v>
      </c>
      <c r="H22" s="83">
        <v>0.75789473684210529</v>
      </c>
      <c r="I22" s="83">
        <v>15.157894736842104</v>
      </c>
      <c r="J22" s="83">
        <v>0</v>
      </c>
      <c r="K22" s="83">
        <v>0</v>
      </c>
      <c r="L22" s="84">
        <v>15.157894736842104</v>
      </c>
      <c r="M22" t="s">
        <v>72</v>
      </c>
    </row>
    <row r="23" spans="2:13" x14ac:dyDescent="0.25">
      <c r="B23" s="44" t="s">
        <v>12</v>
      </c>
      <c r="C23" s="83">
        <v>0.31578947368421051</v>
      </c>
      <c r="D23" s="83">
        <v>1.368421052631579</v>
      </c>
      <c r="E23" s="83">
        <v>1.368421052631579</v>
      </c>
      <c r="F23" s="83">
        <v>1.368421052631579</v>
      </c>
      <c r="G23" s="20">
        <f t="shared" si="0"/>
        <v>1.368421052631579</v>
      </c>
      <c r="H23" s="83">
        <v>0.37894736842105264</v>
      </c>
      <c r="I23" s="83">
        <v>6.9473684210526319</v>
      </c>
      <c r="J23" s="83">
        <v>0</v>
      </c>
      <c r="K23" s="83">
        <v>0</v>
      </c>
      <c r="L23" s="84">
        <v>6.9473684210526319</v>
      </c>
      <c r="M23" t="s">
        <v>72</v>
      </c>
    </row>
    <row r="24" spans="2:13" x14ac:dyDescent="0.25">
      <c r="B24" s="44" t="s">
        <v>13</v>
      </c>
      <c r="C24" s="83">
        <v>0.31578947368421051</v>
      </c>
      <c r="D24" s="83">
        <v>1.368421052631579</v>
      </c>
      <c r="E24" s="83">
        <v>1.368421052631579</v>
      </c>
      <c r="F24" s="83">
        <v>1.368421052631579</v>
      </c>
      <c r="G24" s="20">
        <f t="shared" si="0"/>
        <v>1.368421052631579</v>
      </c>
      <c r="H24" s="83">
        <v>0.37894736842105264</v>
      </c>
      <c r="I24" s="83">
        <v>6.9473684210526319</v>
      </c>
      <c r="J24" s="83">
        <v>0</v>
      </c>
      <c r="K24" s="83">
        <v>0</v>
      </c>
      <c r="L24" s="84">
        <v>6.9473684210526319</v>
      </c>
      <c r="M24" t="s">
        <v>72</v>
      </c>
    </row>
    <row r="25" spans="2:13" x14ac:dyDescent="0.25">
      <c r="B25" s="44" t="s">
        <v>14</v>
      </c>
      <c r="C25" s="83">
        <v>0.73684210526315785</v>
      </c>
      <c r="D25" s="83">
        <v>3.1578947368421053</v>
      </c>
      <c r="E25" s="83">
        <v>3.1578947368421053</v>
      </c>
      <c r="F25" s="83">
        <v>3.1578947368421053</v>
      </c>
      <c r="G25" s="20">
        <f t="shared" si="0"/>
        <v>3.1578947368421049</v>
      </c>
      <c r="H25" s="83">
        <v>0.75789473684210529</v>
      </c>
      <c r="I25" s="83">
        <v>15.157894736842104</v>
      </c>
      <c r="J25" s="83">
        <v>0</v>
      </c>
      <c r="K25" s="83">
        <v>0</v>
      </c>
      <c r="L25" s="84">
        <v>15.157894736842104</v>
      </c>
      <c r="M25" t="s">
        <v>72</v>
      </c>
    </row>
    <row r="26" spans="2:13" x14ac:dyDescent="0.25">
      <c r="B26" s="44" t="s">
        <v>15</v>
      </c>
      <c r="C26" s="83">
        <v>0.15789473684210525</v>
      </c>
      <c r="D26" s="83">
        <v>0.63157894736842102</v>
      </c>
      <c r="E26" s="83">
        <v>0.63157894736842102</v>
      </c>
      <c r="F26" s="83">
        <v>0.63157894736842102</v>
      </c>
      <c r="G26" s="20">
        <f t="shared" si="0"/>
        <v>0.63157894736842102</v>
      </c>
      <c r="H26" s="83">
        <v>0.27368421052631581</v>
      </c>
      <c r="I26" s="83">
        <v>2.5263157894736841</v>
      </c>
      <c r="J26" s="83">
        <v>0</v>
      </c>
      <c r="K26" s="83">
        <v>0</v>
      </c>
      <c r="L26" s="84">
        <v>2.5263157894736841</v>
      </c>
      <c r="M26" t="s">
        <v>72</v>
      </c>
    </row>
    <row r="27" spans="2:13" x14ac:dyDescent="0.25">
      <c r="B27" s="44" t="s">
        <v>16</v>
      </c>
      <c r="C27" s="83">
        <v>0.73684210526315785</v>
      </c>
      <c r="D27" s="83">
        <v>3.1578947368421053</v>
      </c>
      <c r="E27" s="83">
        <v>3.1578947368421053</v>
      </c>
      <c r="F27" s="83">
        <v>3.1578947368421053</v>
      </c>
      <c r="G27" s="20">
        <f t="shared" si="0"/>
        <v>3.1578947368421049</v>
      </c>
      <c r="H27" s="83">
        <v>0.75789473684210529</v>
      </c>
      <c r="I27" s="83">
        <v>15.157894736842104</v>
      </c>
      <c r="J27" s="83">
        <v>0</v>
      </c>
      <c r="K27" s="83">
        <v>0</v>
      </c>
      <c r="L27" s="84">
        <v>15.157894736842104</v>
      </c>
      <c r="M27" t="s">
        <v>72</v>
      </c>
    </row>
    <row r="28" spans="2:13" x14ac:dyDescent="0.25">
      <c r="B28" s="44" t="s">
        <v>1</v>
      </c>
      <c r="C28" s="83">
        <v>0.52631578947368418</v>
      </c>
      <c r="D28" s="83">
        <v>2.1052631578947367</v>
      </c>
      <c r="E28" s="83">
        <v>1.368421052631579</v>
      </c>
      <c r="F28" s="83">
        <v>2.1052631578947367</v>
      </c>
      <c r="G28" s="20">
        <f t="shared" si="0"/>
        <v>1.8596491228070178</v>
      </c>
      <c r="H28" s="83">
        <v>0.37894736842105264</v>
      </c>
      <c r="I28" s="83">
        <v>14.526315789473685</v>
      </c>
      <c r="J28" s="83">
        <v>0</v>
      </c>
      <c r="K28" s="83">
        <v>0</v>
      </c>
      <c r="L28" s="84">
        <v>14.526315789473685</v>
      </c>
      <c r="M28" t="s">
        <v>72</v>
      </c>
    </row>
    <row r="29" spans="2:13" x14ac:dyDescent="0.25">
      <c r="B29" s="44" t="s">
        <v>17</v>
      </c>
      <c r="C29" s="83">
        <v>0.73684210526315785</v>
      </c>
      <c r="D29" s="83">
        <v>3.1578947368421053</v>
      </c>
      <c r="E29" s="83">
        <v>3.1578947368421053</v>
      </c>
      <c r="F29" s="83">
        <v>3.1578947368421053</v>
      </c>
      <c r="G29" s="20">
        <f t="shared" si="0"/>
        <v>3.1578947368421049</v>
      </c>
      <c r="H29" s="83">
        <v>0.75789473684210529</v>
      </c>
      <c r="I29" s="83">
        <v>15.157894736842104</v>
      </c>
      <c r="J29" s="83">
        <v>0</v>
      </c>
      <c r="K29" s="83">
        <v>0</v>
      </c>
      <c r="L29" s="84">
        <v>15.157894736842104</v>
      </c>
      <c r="M29" t="s">
        <v>72</v>
      </c>
    </row>
    <row r="30" spans="2:13" x14ac:dyDescent="0.25">
      <c r="B30" s="44" t="s">
        <v>18</v>
      </c>
      <c r="C30" s="83">
        <v>0.73684210526315785</v>
      </c>
      <c r="D30" s="83">
        <v>3.1578947368421053</v>
      </c>
      <c r="E30" s="83">
        <v>3.1578947368421053</v>
      </c>
      <c r="F30" s="83">
        <v>3.1578947368421053</v>
      </c>
      <c r="G30" s="20">
        <f t="shared" si="0"/>
        <v>3.1578947368421049</v>
      </c>
      <c r="H30" s="83">
        <v>0.75789473684210529</v>
      </c>
      <c r="I30" s="83">
        <v>15.157894736842104</v>
      </c>
      <c r="J30" s="83">
        <v>0</v>
      </c>
      <c r="K30" s="83">
        <v>0</v>
      </c>
      <c r="L30" s="84">
        <v>15.157894736842104</v>
      </c>
      <c r="M30" t="s">
        <v>72</v>
      </c>
    </row>
    <row r="31" spans="2:13" x14ac:dyDescent="0.25">
      <c r="B31" s="44" t="s">
        <v>19</v>
      </c>
      <c r="C31" s="83">
        <v>0.31578947368421051</v>
      </c>
      <c r="D31" s="83">
        <v>1.368421052631579</v>
      </c>
      <c r="E31" s="83">
        <v>1.368421052631579</v>
      </c>
      <c r="F31" s="83">
        <v>1.368421052631579</v>
      </c>
      <c r="G31" s="20">
        <f t="shared" si="0"/>
        <v>1.368421052631579</v>
      </c>
      <c r="H31" s="83">
        <v>0.37894736842105264</v>
      </c>
      <c r="I31" s="83">
        <v>6.9473684210526319</v>
      </c>
      <c r="J31" s="83">
        <v>0</v>
      </c>
      <c r="K31" s="83">
        <v>0</v>
      </c>
      <c r="L31" s="84">
        <v>6.9473684210526319</v>
      </c>
      <c r="M31" t="s">
        <v>72</v>
      </c>
    </row>
    <row r="32" spans="2:13" x14ac:dyDescent="0.25">
      <c r="B32" s="44" t="s">
        <v>20</v>
      </c>
      <c r="C32" s="83">
        <v>0.31578947368421051</v>
      </c>
      <c r="D32" s="83">
        <v>1.368421052631579</v>
      </c>
      <c r="E32" s="83">
        <v>1.368421052631579</v>
      </c>
      <c r="F32" s="83">
        <v>1.368421052631579</v>
      </c>
      <c r="G32" s="20">
        <f t="shared" si="0"/>
        <v>1.368421052631579</v>
      </c>
      <c r="H32" s="83">
        <v>0.37894736842105264</v>
      </c>
      <c r="I32" s="85">
        <v>6.9473684210526319</v>
      </c>
      <c r="J32" s="85">
        <v>0</v>
      </c>
      <c r="K32" s="83">
        <v>0</v>
      </c>
      <c r="L32" s="84">
        <v>6.9473684210526319</v>
      </c>
      <c r="M32" t="s">
        <v>72</v>
      </c>
    </row>
    <row r="33" spans="2:13" x14ac:dyDescent="0.25">
      <c r="B33" s="44" t="s">
        <v>52</v>
      </c>
      <c r="C33" s="83">
        <v>0.31578947368421051</v>
      </c>
      <c r="D33" s="83">
        <v>1.368421052631579</v>
      </c>
      <c r="E33" s="83">
        <v>1.368421052631579</v>
      </c>
      <c r="F33" s="83">
        <v>1.368421052631579</v>
      </c>
      <c r="G33" s="20">
        <f t="shared" si="0"/>
        <v>1.368421052631579</v>
      </c>
      <c r="H33" s="83">
        <v>0.37894736842105264</v>
      </c>
      <c r="I33" s="83">
        <v>6.9473684210526319</v>
      </c>
      <c r="J33" s="83">
        <v>0</v>
      </c>
      <c r="K33" s="83">
        <v>0</v>
      </c>
      <c r="L33" s="84">
        <v>6.9473684210526319</v>
      </c>
      <c r="M33" t="s">
        <v>72</v>
      </c>
    </row>
    <row r="34" spans="2:13" x14ac:dyDescent="0.25">
      <c r="B34" s="44" t="s">
        <v>50</v>
      </c>
      <c r="C34" s="83">
        <v>0.31578947368421051</v>
      </c>
      <c r="D34" s="83">
        <v>1.368421052631579</v>
      </c>
      <c r="E34" s="83">
        <v>1.368421052631579</v>
      </c>
      <c r="F34" s="83">
        <v>1.368421052631579</v>
      </c>
      <c r="G34" s="20">
        <f t="shared" si="0"/>
        <v>1.368421052631579</v>
      </c>
      <c r="H34" s="83">
        <v>0.37894736842105264</v>
      </c>
      <c r="I34" s="83">
        <v>6.9473684210526319</v>
      </c>
      <c r="J34" s="83">
        <v>0</v>
      </c>
      <c r="K34" s="83">
        <v>0</v>
      </c>
      <c r="L34" s="84">
        <v>6.9473684210526319</v>
      </c>
      <c r="M34" t="s">
        <v>72</v>
      </c>
    </row>
    <row r="35" spans="2:13" x14ac:dyDescent="0.25">
      <c r="B35" s="44" t="s">
        <v>53</v>
      </c>
      <c r="C35" s="83">
        <v>0.31578947368421051</v>
      </c>
      <c r="D35" s="83">
        <v>1.368421052631579</v>
      </c>
      <c r="E35" s="83">
        <v>1.368421052631579</v>
      </c>
      <c r="F35" s="83">
        <v>1.368421052631579</v>
      </c>
      <c r="G35" s="20">
        <f t="shared" si="0"/>
        <v>1.368421052631579</v>
      </c>
      <c r="H35" s="83">
        <v>0.37894736842105264</v>
      </c>
      <c r="I35" s="83">
        <v>6.9473684210526319</v>
      </c>
      <c r="J35" s="83">
        <v>0</v>
      </c>
      <c r="K35" s="83">
        <v>0</v>
      </c>
      <c r="L35" s="84">
        <v>6.9473684210526319</v>
      </c>
      <c r="M35" t="s">
        <v>72</v>
      </c>
    </row>
    <row r="36" spans="2:13" x14ac:dyDescent="0.25">
      <c r="B36" s="44" t="s">
        <v>51</v>
      </c>
      <c r="C36" s="83">
        <v>0.31578947368421051</v>
      </c>
      <c r="D36" s="83">
        <v>1.368421052631579</v>
      </c>
      <c r="E36" s="83">
        <v>1.368421052631579</v>
      </c>
      <c r="F36" s="83">
        <v>1.368421052631579</v>
      </c>
      <c r="G36" s="20">
        <f t="shared" si="0"/>
        <v>1.368421052631579</v>
      </c>
      <c r="H36" s="83">
        <v>0.37894736842105264</v>
      </c>
      <c r="I36" s="83">
        <v>6.9473684210526319</v>
      </c>
      <c r="J36" s="83">
        <v>0</v>
      </c>
      <c r="K36" s="83">
        <v>0</v>
      </c>
      <c r="L36" s="84">
        <v>6.9473684210526319</v>
      </c>
      <c r="M36" t="s">
        <v>72</v>
      </c>
    </row>
  </sheetData>
  <mergeCells count="9">
    <mergeCell ref="G14:G15"/>
    <mergeCell ref="H14:H15"/>
    <mergeCell ref="I14:K14"/>
    <mergeCell ref="D13:F13"/>
    <mergeCell ref="B14:B15"/>
    <mergeCell ref="C14:C15"/>
    <mergeCell ref="D14:D15"/>
    <mergeCell ref="E14:E15"/>
    <mergeCell ref="F14:F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3:M36"/>
  <sheetViews>
    <sheetView topLeftCell="A7" workbookViewId="0">
      <selection activeCell="M28" sqref="M28"/>
    </sheetView>
  </sheetViews>
  <sheetFormatPr defaultRowHeight="15" x14ac:dyDescent="0.25"/>
  <cols>
    <col min="1" max="1" width="9.140625" style="43"/>
    <col min="2" max="2" width="20" style="43" bestFit="1" customWidth="1"/>
    <col min="3" max="3" width="27.42578125" style="43" bestFit="1" customWidth="1"/>
    <col min="4" max="4" width="11.85546875" style="43" bestFit="1" customWidth="1"/>
    <col min="5" max="5" width="5.42578125" style="43" bestFit="1" customWidth="1"/>
    <col min="6" max="6" width="12.5703125" style="43" bestFit="1" customWidth="1"/>
    <col min="7" max="7" width="8.28515625" style="43" bestFit="1" customWidth="1"/>
    <col min="8" max="8" width="9.85546875" style="43" bestFit="1" customWidth="1"/>
    <col min="9" max="9" width="8.28515625" style="43" customWidth="1"/>
    <col min="10" max="11" width="4.5703125" style="43" bestFit="1" customWidth="1"/>
    <col min="12" max="12" width="8.28515625" style="43" bestFit="1" customWidth="1"/>
    <col min="13" max="16384" width="9.140625" style="43"/>
  </cols>
  <sheetData>
    <row r="13" spans="2:13" x14ac:dyDescent="0.25">
      <c r="D13" s="135" t="s">
        <v>44</v>
      </c>
      <c r="E13" s="135"/>
      <c r="F13" s="135"/>
    </row>
    <row r="14" spans="2:13" x14ac:dyDescent="0.25">
      <c r="B14" s="132"/>
      <c r="C14" s="136" t="s">
        <v>45</v>
      </c>
      <c r="D14" s="137" t="s">
        <v>77</v>
      </c>
      <c r="E14" s="137" t="s">
        <v>47</v>
      </c>
      <c r="F14" s="137" t="s">
        <v>48</v>
      </c>
      <c r="G14" s="138" t="s">
        <v>55</v>
      </c>
      <c r="H14" s="133" t="s">
        <v>49</v>
      </c>
      <c r="I14" s="134" t="s">
        <v>54</v>
      </c>
      <c r="J14" s="134"/>
      <c r="K14" s="134"/>
    </row>
    <row r="15" spans="2:13" x14ac:dyDescent="0.25">
      <c r="B15" s="132"/>
      <c r="C15" s="136"/>
      <c r="D15" s="137"/>
      <c r="E15" s="137"/>
      <c r="F15" s="137"/>
      <c r="G15" s="139"/>
      <c r="H15" s="133"/>
      <c r="I15" s="18">
        <v>1</v>
      </c>
      <c r="J15" s="18">
        <v>2</v>
      </c>
      <c r="K15" s="18">
        <v>3</v>
      </c>
      <c r="L15" s="19" t="s">
        <v>55</v>
      </c>
    </row>
    <row r="16" spans="2:13" x14ac:dyDescent="0.25">
      <c r="B16" s="44" t="s">
        <v>5</v>
      </c>
      <c r="C16" s="83">
        <v>0.67</v>
      </c>
      <c r="D16" s="83">
        <v>2.27</v>
      </c>
      <c r="E16" s="83">
        <v>0.8</v>
      </c>
      <c r="F16" s="83">
        <v>2.67</v>
      </c>
      <c r="G16" s="20">
        <f t="shared" ref="G16:G36" si="0">AVERAGE(D16:F16)</f>
        <v>1.9133333333333333</v>
      </c>
      <c r="H16" s="83">
        <v>0.4</v>
      </c>
      <c r="I16" s="83">
        <v>6.67</v>
      </c>
      <c r="J16" s="83"/>
      <c r="K16" s="83"/>
      <c r="L16" s="84">
        <f>AVERAGE(I16:K16)</f>
        <v>6.67</v>
      </c>
      <c r="M16" s="43" t="s">
        <v>72</v>
      </c>
    </row>
    <row r="17" spans="2:13" x14ac:dyDescent="0.25">
      <c r="B17" s="44" t="s">
        <v>7</v>
      </c>
      <c r="C17" s="83">
        <v>0.53</v>
      </c>
      <c r="D17" s="83">
        <v>1.73</v>
      </c>
      <c r="E17" s="83">
        <v>1.2</v>
      </c>
      <c r="F17" s="83">
        <v>2.93</v>
      </c>
      <c r="G17" s="20">
        <f t="shared" si="0"/>
        <v>1.9533333333333331</v>
      </c>
      <c r="H17" s="83">
        <v>0.53</v>
      </c>
      <c r="I17" s="83">
        <v>2.67</v>
      </c>
      <c r="J17" s="83"/>
      <c r="K17" s="83"/>
      <c r="L17" s="84">
        <f>AVERAGE(I17:K17)</f>
        <v>2.67</v>
      </c>
      <c r="M17" s="43" t="s">
        <v>72</v>
      </c>
    </row>
    <row r="18" spans="2:13" x14ac:dyDescent="0.25">
      <c r="B18" s="44" t="s">
        <v>8</v>
      </c>
      <c r="C18" s="83">
        <v>0.2</v>
      </c>
      <c r="D18" s="83">
        <v>0.66</v>
      </c>
      <c r="E18" s="83">
        <v>0.27</v>
      </c>
      <c r="F18" s="83">
        <v>2.13</v>
      </c>
      <c r="G18" s="20">
        <f t="shared" si="0"/>
        <v>1.02</v>
      </c>
      <c r="H18" s="83">
        <v>0.27</v>
      </c>
      <c r="I18" s="83">
        <v>1.33</v>
      </c>
      <c r="J18" s="83"/>
      <c r="K18" s="83"/>
      <c r="L18" s="84">
        <f t="shared" ref="L18:L36" si="1">AVERAGE(I18:K18)</f>
        <v>1.33</v>
      </c>
      <c r="M18" s="43" t="s">
        <v>72</v>
      </c>
    </row>
    <row r="19" spans="2:13" x14ac:dyDescent="0.25">
      <c r="B19" s="44" t="s">
        <v>9</v>
      </c>
      <c r="C19" s="83">
        <v>0.2</v>
      </c>
      <c r="D19" s="83">
        <v>1.2</v>
      </c>
      <c r="E19" s="83">
        <v>0.53</v>
      </c>
      <c r="F19" s="83">
        <v>2.93</v>
      </c>
      <c r="G19" s="20">
        <f t="shared" si="0"/>
        <v>1.5533333333333335</v>
      </c>
      <c r="H19" s="83">
        <v>0.27</v>
      </c>
      <c r="I19" s="83">
        <v>1.33</v>
      </c>
      <c r="J19" s="83"/>
      <c r="K19" s="83"/>
      <c r="L19" s="84">
        <f t="shared" si="1"/>
        <v>1.33</v>
      </c>
      <c r="M19" s="43" t="s">
        <v>72</v>
      </c>
    </row>
    <row r="20" spans="2:13" x14ac:dyDescent="0.25">
      <c r="B20" s="44" t="s">
        <v>10</v>
      </c>
      <c r="C20" s="83">
        <v>0.67</v>
      </c>
      <c r="D20" s="83">
        <v>1.73</v>
      </c>
      <c r="E20" s="83">
        <v>0.8</v>
      </c>
      <c r="F20" s="83">
        <v>2.27</v>
      </c>
      <c r="G20" s="20">
        <f t="shared" si="0"/>
        <v>1.6000000000000003</v>
      </c>
      <c r="H20" s="83">
        <v>0.4</v>
      </c>
      <c r="I20" s="83">
        <v>6.67</v>
      </c>
      <c r="J20" s="83"/>
      <c r="K20" s="83"/>
      <c r="L20" s="84">
        <f t="shared" si="1"/>
        <v>6.67</v>
      </c>
      <c r="M20" s="43" t="s">
        <v>72</v>
      </c>
    </row>
    <row r="21" spans="2:13" x14ac:dyDescent="0.25">
      <c r="B21" s="44" t="s">
        <v>11</v>
      </c>
      <c r="C21" s="83">
        <v>0.67</v>
      </c>
      <c r="D21" s="83">
        <v>1.6</v>
      </c>
      <c r="E21" s="83">
        <v>0.67</v>
      </c>
      <c r="F21" s="83">
        <v>3.07</v>
      </c>
      <c r="G21" s="20">
        <f t="shared" si="0"/>
        <v>1.78</v>
      </c>
      <c r="H21" s="83">
        <v>0.4</v>
      </c>
      <c r="I21" s="83">
        <v>1.33</v>
      </c>
      <c r="J21" s="83"/>
      <c r="K21" s="83"/>
      <c r="L21" s="84">
        <f t="shared" si="1"/>
        <v>1.33</v>
      </c>
      <c r="M21" s="43" t="s">
        <v>72</v>
      </c>
    </row>
    <row r="22" spans="2:13" x14ac:dyDescent="0.25">
      <c r="B22" s="44" t="s">
        <v>67</v>
      </c>
      <c r="C22" s="83">
        <v>0.2</v>
      </c>
      <c r="D22" s="83">
        <v>1.2</v>
      </c>
      <c r="E22" s="83">
        <v>0.53</v>
      </c>
      <c r="F22" s="83">
        <v>2.93</v>
      </c>
      <c r="G22" s="20">
        <f t="shared" si="0"/>
        <v>1.5533333333333335</v>
      </c>
      <c r="H22" s="83">
        <v>0.27</v>
      </c>
      <c r="I22" s="83">
        <v>1.33</v>
      </c>
      <c r="J22" s="83"/>
      <c r="K22" s="83"/>
      <c r="L22" s="84">
        <f t="shared" si="1"/>
        <v>1.33</v>
      </c>
      <c r="M22" s="43" t="s">
        <v>72</v>
      </c>
    </row>
    <row r="23" spans="2:13" x14ac:dyDescent="0.25">
      <c r="B23" s="44" t="s">
        <v>12</v>
      </c>
      <c r="C23" s="83">
        <v>0.2</v>
      </c>
      <c r="D23" s="83">
        <v>0.66</v>
      </c>
      <c r="E23" s="83">
        <v>0.27</v>
      </c>
      <c r="F23" s="83">
        <v>2.13</v>
      </c>
      <c r="G23" s="20">
        <f t="shared" si="0"/>
        <v>1.02</v>
      </c>
      <c r="H23" s="83">
        <v>0.27</v>
      </c>
      <c r="I23" s="83">
        <v>1.33</v>
      </c>
      <c r="J23" s="83"/>
      <c r="K23" s="83"/>
      <c r="L23" s="84">
        <f t="shared" si="1"/>
        <v>1.33</v>
      </c>
      <c r="M23" s="43" t="s">
        <v>72</v>
      </c>
    </row>
    <row r="24" spans="2:13" x14ac:dyDescent="0.25">
      <c r="B24" s="44" t="s">
        <v>13</v>
      </c>
      <c r="C24" s="83">
        <v>0.27</v>
      </c>
      <c r="D24" s="83">
        <v>1.2</v>
      </c>
      <c r="E24" s="83">
        <v>0.53</v>
      </c>
      <c r="F24" s="83">
        <v>2.13</v>
      </c>
      <c r="G24" s="20">
        <f t="shared" si="0"/>
        <v>1.2866666666666666</v>
      </c>
      <c r="H24" s="83">
        <v>0.4</v>
      </c>
      <c r="I24" s="83">
        <v>21.33</v>
      </c>
      <c r="J24" s="83"/>
      <c r="K24" s="83"/>
      <c r="L24" s="84">
        <f t="shared" si="1"/>
        <v>21.33</v>
      </c>
      <c r="M24" s="43" t="s">
        <v>72</v>
      </c>
    </row>
    <row r="25" spans="2:13" x14ac:dyDescent="0.25">
      <c r="B25" s="44" t="s">
        <v>14</v>
      </c>
      <c r="C25" s="83">
        <v>0.28999999999999998</v>
      </c>
      <c r="D25" s="83">
        <v>4.2699999999999996</v>
      </c>
      <c r="E25" s="83">
        <v>1.07</v>
      </c>
      <c r="F25" s="83">
        <v>5.07</v>
      </c>
      <c r="G25" s="20">
        <f t="shared" si="0"/>
        <v>3.47</v>
      </c>
      <c r="H25" s="83">
        <v>0.53</v>
      </c>
      <c r="I25" s="83"/>
      <c r="J25" s="83"/>
      <c r="K25" s="83"/>
      <c r="L25" s="84"/>
      <c r="M25" s="43" t="s">
        <v>71</v>
      </c>
    </row>
    <row r="26" spans="2:13" x14ac:dyDescent="0.25">
      <c r="B26" s="44" t="s">
        <v>15</v>
      </c>
      <c r="C26" s="83">
        <v>0.67</v>
      </c>
      <c r="D26" s="83">
        <v>2.5299999999999998</v>
      </c>
      <c r="E26" s="83">
        <v>1.07</v>
      </c>
      <c r="F26" s="83">
        <v>4</v>
      </c>
      <c r="G26" s="20">
        <f t="shared" si="0"/>
        <v>2.5333333333333332</v>
      </c>
      <c r="H26" s="83">
        <v>0.53</v>
      </c>
      <c r="I26" s="83">
        <v>2.67</v>
      </c>
      <c r="J26" s="83"/>
      <c r="K26" s="83"/>
      <c r="L26" s="84">
        <f t="shared" si="1"/>
        <v>2.67</v>
      </c>
      <c r="M26" s="43" t="s">
        <v>72</v>
      </c>
    </row>
    <row r="27" spans="2:13" x14ac:dyDescent="0.25">
      <c r="B27" s="44" t="s">
        <v>16</v>
      </c>
      <c r="C27" s="83">
        <v>0.2</v>
      </c>
      <c r="D27" s="83">
        <v>0.66</v>
      </c>
      <c r="E27" s="83">
        <v>0.27</v>
      </c>
      <c r="F27" s="83">
        <v>2.13</v>
      </c>
      <c r="G27" s="20">
        <f t="shared" si="0"/>
        <v>1.02</v>
      </c>
      <c r="H27" s="83">
        <v>0.27</v>
      </c>
      <c r="I27" s="83">
        <v>1.33</v>
      </c>
      <c r="J27" s="83"/>
      <c r="K27" s="83"/>
      <c r="L27" s="84">
        <f t="shared" si="1"/>
        <v>1.33</v>
      </c>
      <c r="M27" s="43" t="s">
        <v>72</v>
      </c>
    </row>
    <row r="28" spans="2:13" x14ac:dyDescent="0.25">
      <c r="B28" s="44" t="s">
        <v>1</v>
      </c>
      <c r="C28" s="83">
        <v>0.53</v>
      </c>
      <c r="D28" s="83">
        <v>1.47</v>
      </c>
      <c r="E28" s="83">
        <v>0.67</v>
      </c>
      <c r="F28" s="83">
        <v>2.67</v>
      </c>
      <c r="G28" s="20">
        <f t="shared" si="0"/>
        <v>1.6033333333333335</v>
      </c>
      <c r="H28" s="83">
        <v>0.4</v>
      </c>
      <c r="I28" s="83">
        <v>1</v>
      </c>
      <c r="J28" s="83"/>
      <c r="K28" s="83"/>
      <c r="L28" s="84">
        <f t="shared" si="1"/>
        <v>1</v>
      </c>
      <c r="M28" s="43" t="s">
        <v>72</v>
      </c>
    </row>
    <row r="29" spans="2:13" x14ac:dyDescent="0.25">
      <c r="B29" s="44" t="s">
        <v>17</v>
      </c>
      <c r="C29" s="83">
        <v>0.2</v>
      </c>
      <c r="D29" s="83">
        <v>3.73</v>
      </c>
      <c r="E29" s="83">
        <v>2.93</v>
      </c>
      <c r="F29" s="83">
        <v>4.2699999999999996</v>
      </c>
      <c r="G29" s="20">
        <f t="shared" si="0"/>
        <v>3.6433333333333331</v>
      </c>
      <c r="H29" s="83">
        <v>1.07</v>
      </c>
      <c r="I29" s="83"/>
      <c r="J29" s="83"/>
      <c r="K29" s="83"/>
      <c r="L29" s="84"/>
      <c r="M29" s="43" t="s">
        <v>71</v>
      </c>
    </row>
    <row r="30" spans="2:13" x14ac:dyDescent="0.25">
      <c r="B30" s="44" t="s">
        <v>18</v>
      </c>
      <c r="C30" s="83">
        <v>1.07</v>
      </c>
      <c r="D30" s="83">
        <v>4.2699999999999996</v>
      </c>
      <c r="E30" s="83">
        <v>1.07</v>
      </c>
      <c r="F30" s="83">
        <v>5.07</v>
      </c>
      <c r="G30" s="20">
        <f t="shared" si="0"/>
        <v>3.47</v>
      </c>
      <c r="H30" s="83">
        <v>0.53</v>
      </c>
      <c r="I30" s="83">
        <v>19.2</v>
      </c>
      <c r="J30" s="83"/>
      <c r="K30" s="83"/>
      <c r="L30" s="84">
        <f t="shared" si="1"/>
        <v>19.2</v>
      </c>
      <c r="M30" s="43" t="s">
        <v>72</v>
      </c>
    </row>
    <row r="31" spans="2:13" x14ac:dyDescent="0.25">
      <c r="B31" s="44" t="s">
        <v>19</v>
      </c>
      <c r="C31" s="83">
        <v>0.2</v>
      </c>
      <c r="D31" s="83">
        <v>0.66</v>
      </c>
      <c r="E31" s="83">
        <v>0.27</v>
      </c>
      <c r="F31" s="83">
        <v>2.13</v>
      </c>
      <c r="G31" s="20">
        <f t="shared" si="0"/>
        <v>1.02</v>
      </c>
      <c r="H31" s="83">
        <v>0.27</v>
      </c>
      <c r="I31" s="83">
        <v>1.33</v>
      </c>
      <c r="J31" s="83"/>
      <c r="K31" s="83"/>
      <c r="L31" s="84">
        <f t="shared" si="1"/>
        <v>1.33</v>
      </c>
      <c r="M31" s="43" t="s">
        <v>72</v>
      </c>
    </row>
    <row r="32" spans="2:13" x14ac:dyDescent="0.25">
      <c r="B32" s="44" t="s">
        <v>20</v>
      </c>
      <c r="C32" s="83">
        <v>0.15</v>
      </c>
      <c r="D32" s="83">
        <v>1.87</v>
      </c>
      <c r="E32" s="83">
        <v>0.53</v>
      </c>
      <c r="F32" s="83">
        <v>2.93</v>
      </c>
      <c r="G32" s="20">
        <f t="shared" si="0"/>
        <v>1.7766666666666666</v>
      </c>
      <c r="H32" s="83">
        <v>0.4</v>
      </c>
      <c r="I32" s="85">
        <v>1.33</v>
      </c>
      <c r="J32" s="85"/>
      <c r="K32" s="83"/>
      <c r="L32" s="84">
        <f t="shared" si="1"/>
        <v>1.33</v>
      </c>
      <c r="M32" s="43" t="s">
        <v>72</v>
      </c>
    </row>
    <row r="33" spans="2:13" x14ac:dyDescent="0.25">
      <c r="B33" s="44" t="s">
        <v>52</v>
      </c>
      <c r="C33" s="83">
        <v>0</v>
      </c>
      <c r="D33" s="83">
        <v>0.05</v>
      </c>
      <c r="E33" s="83">
        <v>0.08</v>
      </c>
      <c r="F33" s="83"/>
      <c r="G33" s="20">
        <f t="shared" si="0"/>
        <v>6.5000000000000002E-2</v>
      </c>
      <c r="H33" s="83">
        <v>7.0000000000000007E-2</v>
      </c>
      <c r="I33" s="83">
        <v>0.27</v>
      </c>
      <c r="J33" s="83"/>
      <c r="K33" s="83"/>
      <c r="L33" s="84">
        <f t="shared" si="1"/>
        <v>0.27</v>
      </c>
      <c r="M33" s="43" t="s">
        <v>72</v>
      </c>
    </row>
    <row r="34" spans="2:13" x14ac:dyDescent="0.25">
      <c r="B34" s="44" t="s">
        <v>50</v>
      </c>
      <c r="C34" s="83">
        <v>0.2</v>
      </c>
      <c r="D34" s="83">
        <v>0.66</v>
      </c>
      <c r="E34" s="83">
        <v>0.27</v>
      </c>
      <c r="F34" s="83">
        <v>2.13</v>
      </c>
      <c r="G34" s="20">
        <f t="shared" si="0"/>
        <v>1.02</v>
      </c>
      <c r="H34" s="83">
        <v>0.27</v>
      </c>
      <c r="I34" s="83">
        <v>1.33</v>
      </c>
      <c r="J34" s="83"/>
      <c r="K34" s="83"/>
      <c r="L34" s="84">
        <f t="shared" si="1"/>
        <v>1.33</v>
      </c>
      <c r="M34" s="43" t="s">
        <v>72</v>
      </c>
    </row>
    <row r="35" spans="2:13" x14ac:dyDescent="0.25">
      <c r="B35" s="44" t="s">
        <v>53</v>
      </c>
      <c r="C35" s="83">
        <v>0.4</v>
      </c>
      <c r="D35" s="83">
        <v>1.2</v>
      </c>
      <c r="E35" s="83">
        <v>0.53</v>
      </c>
      <c r="F35" s="83">
        <v>2.93</v>
      </c>
      <c r="G35" s="20">
        <f t="shared" si="0"/>
        <v>1.5533333333333335</v>
      </c>
      <c r="H35" s="83">
        <v>0.27</v>
      </c>
      <c r="I35" s="83">
        <v>1.33</v>
      </c>
      <c r="J35" s="83"/>
      <c r="K35" s="83"/>
      <c r="L35" s="84">
        <f t="shared" si="1"/>
        <v>1.33</v>
      </c>
      <c r="M35" s="43" t="s">
        <v>72</v>
      </c>
    </row>
    <row r="36" spans="2:13" x14ac:dyDescent="0.25">
      <c r="B36" s="44" t="s">
        <v>51</v>
      </c>
      <c r="C36" s="83">
        <v>0.4</v>
      </c>
      <c r="D36" s="83">
        <v>1.2</v>
      </c>
      <c r="E36" s="83">
        <v>0.53</v>
      </c>
      <c r="F36" s="83">
        <v>2.93</v>
      </c>
      <c r="G36" s="20">
        <f t="shared" si="0"/>
        <v>1.5533333333333335</v>
      </c>
      <c r="H36" s="83">
        <v>0.4</v>
      </c>
      <c r="I36" s="83">
        <v>1.33</v>
      </c>
      <c r="J36" s="83"/>
      <c r="K36" s="83"/>
      <c r="L36" s="84">
        <f t="shared" si="1"/>
        <v>1.33</v>
      </c>
      <c r="M36" s="43" t="s">
        <v>72</v>
      </c>
    </row>
  </sheetData>
  <mergeCells count="9">
    <mergeCell ref="G14:G15"/>
    <mergeCell ref="H14:H15"/>
    <mergeCell ref="I14:K14"/>
    <mergeCell ref="D13:F13"/>
    <mergeCell ref="B14:B15"/>
    <mergeCell ref="C14:C15"/>
    <mergeCell ref="D14:D15"/>
    <mergeCell ref="E14:E15"/>
    <mergeCell ref="F14:F1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3:M36"/>
  <sheetViews>
    <sheetView topLeftCell="A7" workbookViewId="0">
      <selection activeCell="G41" sqref="G41"/>
    </sheetView>
  </sheetViews>
  <sheetFormatPr defaultRowHeight="15" x14ac:dyDescent="0.25"/>
  <cols>
    <col min="1" max="1" width="9.140625" style="43"/>
    <col min="2" max="2" width="20" style="43" bestFit="1" customWidth="1"/>
    <col min="3" max="3" width="27.42578125" style="43" bestFit="1" customWidth="1"/>
    <col min="4" max="4" width="11.85546875" style="43" bestFit="1" customWidth="1"/>
    <col min="5" max="5" width="5.42578125" style="43" bestFit="1" customWidth="1"/>
    <col min="6" max="6" width="12.5703125" style="43" bestFit="1" customWidth="1"/>
    <col min="7" max="7" width="8.28515625" style="43" bestFit="1" customWidth="1"/>
    <col min="8" max="8" width="9.85546875" style="43" bestFit="1" customWidth="1"/>
    <col min="9" max="9" width="5.5703125" style="43" bestFit="1" customWidth="1"/>
    <col min="10" max="11" width="4.5703125" style="43" bestFit="1" customWidth="1"/>
    <col min="12" max="12" width="8.28515625" style="43" bestFit="1" customWidth="1"/>
    <col min="13" max="16384" width="9.140625" style="43"/>
  </cols>
  <sheetData>
    <row r="13" spans="2:13" x14ac:dyDescent="0.25">
      <c r="D13" s="135" t="s">
        <v>44</v>
      </c>
      <c r="E13" s="135"/>
      <c r="F13" s="135"/>
    </row>
    <row r="14" spans="2:13" x14ac:dyDescent="0.25">
      <c r="B14" s="132"/>
      <c r="C14" s="136" t="s">
        <v>45</v>
      </c>
      <c r="D14" s="137" t="s">
        <v>76</v>
      </c>
      <c r="E14" s="137" t="s">
        <v>47</v>
      </c>
      <c r="F14" s="137" t="s">
        <v>48</v>
      </c>
      <c r="G14" s="138" t="s">
        <v>55</v>
      </c>
      <c r="H14" s="133" t="s">
        <v>49</v>
      </c>
      <c r="I14" s="134" t="s">
        <v>54</v>
      </c>
      <c r="J14" s="134"/>
      <c r="K14" s="134"/>
    </row>
    <row r="15" spans="2:13" x14ac:dyDescent="0.25">
      <c r="B15" s="132"/>
      <c r="C15" s="136"/>
      <c r="D15" s="137"/>
      <c r="E15" s="137"/>
      <c r="F15" s="137"/>
      <c r="G15" s="139"/>
      <c r="H15" s="133"/>
      <c r="I15" s="18">
        <v>1</v>
      </c>
      <c r="J15" s="18">
        <v>2</v>
      </c>
      <c r="K15" s="18">
        <v>3</v>
      </c>
      <c r="L15" s="19" t="s">
        <v>55</v>
      </c>
    </row>
    <row r="16" spans="2:13" x14ac:dyDescent="0.25">
      <c r="B16" s="44" t="s">
        <v>5</v>
      </c>
      <c r="C16" s="83">
        <v>0.6</v>
      </c>
      <c r="D16" s="83">
        <v>7.5</v>
      </c>
      <c r="E16" s="83">
        <v>7.5</v>
      </c>
      <c r="F16" s="83">
        <v>7.5</v>
      </c>
      <c r="G16" s="20">
        <f>AVERAGE(D16:F16)</f>
        <v>7.5</v>
      </c>
      <c r="H16" s="83">
        <v>0.15</v>
      </c>
      <c r="I16" s="83">
        <v>0.25</v>
      </c>
      <c r="J16" s="83"/>
      <c r="K16" s="83"/>
      <c r="L16" s="84">
        <f>AVERAGE(I16:K16)</f>
        <v>0.25</v>
      </c>
      <c r="M16" s="43" t="s">
        <v>72</v>
      </c>
    </row>
    <row r="17" spans="2:13" x14ac:dyDescent="0.25">
      <c r="B17" s="44" t="s">
        <v>7</v>
      </c>
      <c r="C17" s="83">
        <v>0.5</v>
      </c>
      <c r="D17" s="83">
        <v>0.9</v>
      </c>
      <c r="E17" s="83">
        <v>0.9</v>
      </c>
      <c r="F17" s="83">
        <v>0.9</v>
      </c>
      <c r="G17" s="20">
        <f t="shared" ref="G17:G36" si="0">AVERAGE(D17:F17)</f>
        <v>0.9</v>
      </c>
      <c r="H17" s="83">
        <v>0.15</v>
      </c>
      <c r="I17" s="83">
        <v>0.1</v>
      </c>
      <c r="J17" s="83"/>
      <c r="K17" s="83"/>
      <c r="L17" s="84">
        <f t="shared" ref="L17:L36" si="1">AVERAGE(I17:K17)</f>
        <v>0.1</v>
      </c>
      <c r="M17" s="43" t="s">
        <v>72</v>
      </c>
    </row>
    <row r="18" spans="2:13" x14ac:dyDescent="0.25">
      <c r="B18" s="44" t="s">
        <v>8</v>
      </c>
      <c r="C18" s="83">
        <v>0.54</v>
      </c>
      <c r="D18" s="83">
        <v>3.9</v>
      </c>
      <c r="E18" s="83">
        <v>3.9</v>
      </c>
      <c r="F18" s="83">
        <v>3.9</v>
      </c>
      <c r="G18" s="20">
        <f t="shared" si="0"/>
        <v>3.9</v>
      </c>
      <c r="H18" s="83">
        <v>0.15</v>
      </c>
      <c r="I18" s="83">
        <v>0.25</v>
      </c>
      <c r="J18" s="83"/>
      <c r="K18" s="83"/>
      <c r="L18" s="84">
        <f t="shared" si="1"/>
        <v>0.25</v>
      </c>
      <c r="M18" s="43" t="s">
        <v>72</v>
      </c>
    </row>
    <row r="19" spans="2:13" x14ac:dyDescent="0.25">
      <c r="B19" s="44" t="s">
        <v>9</v>
      </c>
      <c r="C19" s="83">
        <v>0.54</v>
      </c>
      <c r="D19" s="83">
        <v>1.9</v>
      </c>
      <c r="E19" s="83">
        <v>1.9</v>
      </c>
      <c r="F19" s="83">
        <v>1.9</v>
      </c>
      <c r="G19" s="20">
        <f t="shared" si="0"/>
        <v>1.8999999999999997</v>
      </c>
      <c r="H19" s="83">
        <v>0.15</v>
      </c>
      <c r="I19" s="83">
        <v>0.15</v>
      </c>
      <c r="J19" s="83"/>
      <c r="K19" s="83"/>
      <c r="L19" s="84">
        <f t="shared" si="1"/>
        <v>0.15</v>
      </c>
      <c r="M19" s="43" t="s">
        <v>72</v>
      </c>
    </row>
    <row r="20" spans="2:13" x14ac:dyDescent="0.25">
      <c r="B20" s="44" t="s">
        <v>10</v>
      </c>
      <c r="C20" s="83">
        <v>0.54</v>
      </c>
      <c r="D20" s="83">
        <v>5</v>
      </c>
      <c r="E20" s="83">
        <v>5</v>
      </c>
      <c r="F20" s="83">
        <v>5</v>
      </c>
      <c r="G20" s="20">
        <f t="shared" si="0"/>
        <v>5</v>
      </c>
      <c r="H20" s="83">
        <v>0.15</v>
      </c>
      <c r="I20" s="83">
        <v>0.25</v>
      </c>
      <c r="J20" s="83"/>
      <c r="K20" s="83"/>
      <c r="L20" s="84">
        <f t="shared" si="1"/>
        <v>0.25</v>
      </c>
      <c r="M20" s="43" t="s">
        <v>72</v>
      </c>
    </row>
    <row r="21" spans="2:13" x14ac:dyDescent="0.25">
      <c r="B21" s="44" t="s">
        <v>11</v>
      </c>
      <c r="C21" s="83">
        <v>0.54</v>
      </c>
      <c r="D21" s="83">
        <v>3.9</v>
      </c>
      <c r="E21" s="83">
        <v>3.9</v>
      </c>
      <c r="F21" s="83">
        <v>3.9</v>
      </c>
      <c r="G21" s="20">
        <f t="shared" si="0"/>
        <v>3.9</v>
      </c>
      <c r="H21" s="83">
        <v>0.15</v>
      </c>
      <c r="I21" s="83">
        <v>0.25</v>
      </c>
      <c r="J21" s="83"/>
      <c r="K21" s="83"/>
      <c r="L21" s="84">
        <f t="shared" si="1"/>
        <v>0.25</v>
      </c>
      <c r="M21" s="43" t="s">
        <v>72</v>
      </c>
    </row>
    <row r="22" spans="2:13" x14ac:dyDescent="0.25">
      <c r="B22" s="44" t="s">
        <v>67</v>
      </c>
      <c r="C22" s="83">
        <v>0.54</v>
      </c>
      <c r="D22" s="83">
        <v>3.9</v>
      </c>
      <c r="E22" s="83">
        <v>3.9</v>
      </c>
      <c r="F22" s="83">
        <v>3.9</v>
      </c>
      <c r="G22" s="20">
        <f t="shared" si="0"/>
        <v>3.9</v>
      </c>
      <c r="H22" s="83">
        <v>0.15</v>
      </c>
      <c r="I22" s="83">
        <v>0.25</v>
      </c>
      <c r="J22" s="83"/>
      <c r="K22" s="83"/>
      <c r="L22" s="84">
        <f t="shared" si="1"/>
        <v>0.25</v>
      </c>
      <c r="M22" s="43" t="s">
        <v>72</v>
      </c>
    </row>
    <row r="23" spans="2:13" x14ac:dyDescent="0.25">
      <c r="B23" s="44" t="s">
        <v>12</v>
      </c>
      <c r="C23" s="83">
        <v>0.54</v>
      </c>
      <c r="D23" s="83">
        <v>2.9</v>
      </c>
      <c r="E23" s="83">
        <v>2.9</v>
      </c>
      <c r="F23" s="83">
        <v>2.9</v>
      </c>
      <c r="G23" s="20">
        <f t="shared" si="0"/>
        <v>2.9</v>
      </c>
      <c r="H23" s="83">
        <v>0.15</v>
      </c>
      <c r="I23" s="83">
        <v>0.15</v>
      </c>
      <c r="J23" s="83"/>
      <c r="K23" s="83"/>
      <c r="L23" s="84">
        <f t="shared" si="1"/>
        <v>0.15</v>
      </c>
      <c r="M23" s="43" t="s">
        <v>72</v>
      </c>
    </row>
    <row r="24" spans="2:13" x14ac:dyDescent="0.25">
      <c r="B24" s="44" t="s">
        <v>13</v>
      </c>
      <c r="C24" s="83">
        <v>0.54</v>
      </c>
      <c r="D24" s="83">
        <v>1.9</v>
      </c>
      <c r="E24" s="83">
        <v>1.9</v>
      </c>
      <c r="F24" s="83">
        <v>1.9</v>
      </c>
      <c r="G24" s="20">
        <f t="shared" si="0"/>
        <v>1.8999999999999997</v>
      </c>
      <c r="H24" s="83">
        <v>0.15</v>
      </c>
      <c r="I24" s="83">
        <v>0.1</v>
      </c>
      <c r="J24" s="83"/>
      <c r="K24" s="83"/>
      <c r="L24" s="84">
        <f t="shared" si="1"/>
        <v>0.1</v>
      </c>
      <c r="M24" s="43" t="s">
        <v>72</v>
      </c>
    </row>
    <row r="25" spans="2:13" x14ac:dyDescent="0.25">
      <c r="B25" s="44" t="s">
        <v>14</v>
      </c>
      <c r="C25" s="83">
        <v>0.5</v>
      </c>
      <c r="D25" s="83">
        <v>7.5</v>
      </c>
      <c r="E25" s="83">
        <v>7.5</v>
      </c>
      <c r="F25" s="83">
        <v>7.5</v>
      </c>
      <c r="G25" s="20">
        <f t="shared" si="0"/>
        <v>7.5</v>
      </c>
      <c r="H25" s="83">
        <v>0.15</v>
      </c>
      <c r="I25" s="83">
        <v>0.25</v>
      </c>
      <c r="J25" s="83"/>
      <c r="K25" s="83"/>
      <c r="L25" s="84">
        <f t="shared" si="1"/>
        <v>0.25</v>
      </c>
      <c r="M25" s="43" t="s">
        <v>72</v>
      </c>
    </row>
    <row r="26" spans="2:13" x14ac:dyDescent="0.25">
      <c r="B26" s="44" t="s">
        <v>15</v>
      </c>
      <c r="C26" s="83">
        <v>0.5</v>
      </c>
      <c r="D26" s="83">
        <v>0.9</v>
      </c>
      <c r="E26" s="83">
        <v>0.9</v>
      </c>
      <c r="F26" s="83">
        <v>0.9</v>
      </c>
      <c r="G26" s="20">
        <f t="shared" si="0"/>
        <v>0.9</v>
      </c>
      <c r="H26" s="83">
        <v>0.15</v>
      </c>
      <c r="I26" s="83">
        <v>0.1</v>
      </c>
      <c r="J26" s="83"/>
      <c r="K26" s="83"/>
      <c r="L26" s="84">
        <f t="shared" si="1"/>
        <v>0.1</v>
      </c>
      <c r="M26" s="43" t="s">
        <v>72</v>
      </c>
    </row>
    <row r="27" spans="2:13" x14ac:dyDescent="0.25">
      <c r="B27" s="44" t="s">
        <v>16</v>
      </c>
      <c r="C27" s="83">
        <v>0.54</v>
      </c>
      <c r="D27" s="83">
        <v>2.9</v>
      </c>
      <c r="E27" s="83">
        <v>2.9</v>
      </c>
      <c r="F27" s="83">
        <v>2.9</v>
      </c>
      <c r="G27" s="20">
        <f t="shared" si="0"/>
        <v>2.9</v>
      </c>
      <c r="H27" s="83">
        <v>0.15</v>
      </c>
      <c r="I27" s="83">
        <v>0.15</v>
      </c>
      <c r="J27" s="83"/>
      <c r="K27" s="83"/>
      <c r="L27" s="84">
        <f t="shared" si="1"/>
        <v>0.15</v>
      </c>
      <c r="M27" s="43" t="s">
        <v>72</v>
      </c>
    </row>
    <row r="28" spans="2:13" x14ac:dyDescent="0.25">
      <c r="B28" s="44" t="s">
        <v>1</v>
      </c>
      <c r="C28" s="83">
        <v>0.6</v>
      </c>
      <c r="D28" s="83">
        <v>5</v>
      </c>
      <c r="E28" s="83">
        <v>5</v>
      </c>
      <c r="F28" s="83">
        <v>5</v>
      </c>
      <c r="G28" s="20">
        <f t="shared" si="0"/>
        <v>5</v>
      </c>
      <c r="H28" s="83">
        <v>0.15</v>
      </c>
      <c r="I28" s="83">
        <v>0.25</v>
      </c>
      <c r="J28" s="83"/>
      <c r="K28" s="83"/>
      <c r="L28" s="84">
        <f t="shared" si="1"/>
        <v>0.25</v>
      </c>
      <c r="M28" s="43" t="s">
        <v>72</v>
      </c>
    </row>
    <row r="29" spans="2:13" x14ac:dyDescent="0.25">
      <c r="B29" s="44" t="s">
        <v>17</v>
      </c>
      <c r="C29" s="83">
        <v>0.54</v>
      </c>
      <c r="D29" s="83">
        <v>1.9</v>
      </c>
      <c r="E29" s="83">
        <v>1.9</v>
      </c>
      <c r="F29" s="83">
        <v>1.9</v>
      </c>
      <c r="G29" s="20">
        <f t="shared" si="0"/>
        <v>1.8999999999999997</v>
      </c>
      <c r="H29" s="83">
        <v>0.15</v>
      </c>
      <c r="I29" s="83">
        <v>0.15</v>
      </c>
      <c r="J29" s="83"/>
      <c r="K29" s="83"/>
      <c r="L29" s="84">
        <f t="shared" si="1"/>
        <v>0.15</v>
      </c>
      <c r="M29" s="43" t="s">
        <v>72</v>
      </c>
    </row>
    <row r="30" spans="2:13" x14ac:dyDescent="0.25">
      <c r="B30" s="44" t="s">
        <v>18</v>
      </c>
      <c r="C30" s="83">
        <v>0</v>
      </c>
      <c r="D30" s="83">
        <v>0.3</v>
      </c>
      <c r="E30" s="83">
        <v>0.3</v>
      </c>
      <c r="F30" s="83">
        <v>1.18</v>
      </c>
      <c r="G30" s="20">
        <f t="shared" si="0"/>
        <v>0.59333333333333327</v>
      </c>
      <c r="H30" s="83">
        <v>0.15</v>
      </c>
      <c r="I30" s="83">
        <v>0</v>
      </c>
      <c r="J30" s="83"/>
      <c r="K30" s="83"/>
      <c r="L30" s="84">
        <f t="shared" si="1"/>
        <v>0</v>
      </c>
      <c r="M30" s="43" t="s">
        <v>72</v>
      </c>
    </row>
    <row r="31" spans="2:13" x14ac:dyDescent="0.25">
      <c r="B31" s="44" t="s">
        <v>19</v>
      </c>
      <c r="C31" s="83">
        <v>0.54</v>
      </c>
      <c r="D31" s="83">
        <v>1.9</v>
      </c>
      <c r="E31" s="83">
        <v>1.9</v>
      </c>
      <c r="F31" s="83">
        <v>1.9</v>
      </c>
      <c r="G31" s="20">
        <f t="shared" si="0"/>
        <v>1.8999999999999997</v>
      </c>
      <c r="H31" s="83">
        <v>0.15</v>
      </c>
      <c r="I31" s="83">
        <v>0.1</v>
      </c>
      <c r="J31" s="83"/>
      <c r="K31" s="83"/>
      <c r="L31" s="84">
        <f t="shared" si="1"/>
        <v>0.1</v>
      </c>
      <c r="M31" s="43" t="s">
        <v>72</v>
      </c>
    </row>
    <row r="32" spans="2:13" x14ac:dyDescent="0.25">
      <c r="B32" s="44" t="s">
        <v>20</v>
      </c>
      <c r="C32" s="83">
        <v>0.54</v>
      </c>
      <c r="D32" s="83">
        <v>5</v>
      </c>
      <c r="E32" s="83">
        <v>5</v>
      </c>
      <c r="F32" s="83">
        <v>5</v>
      </c>
      <c r="G32" s="20">
        <f t="shared" si="0"/>
        <v>5</v>
      </c>
      <c r="H32" s="83">
        <v>0.15</v>
      </c>
      <c r="I32" s="85">
        <v>0.25</v>
      </c>
      <c r="J32" s="85"/>
      <c r="K32" s="83"/>
      <c r="L32" s="84">
        <f t="shared" si="1"/>
        <v>0.25</v>
      </c>
      <c r="M32" s="43" t="s">
        <v>72</v>
      </c>
    </row>
    <row r="33" spans="2:13" x14ac:dyDescent="0.25">
      <c r="B33" s="44" t="s">
        <v>52</v>
      </c>
      <c r="C33" s="83">
        <v>0.54</v>
      </c>
      <c r="D33" s="83">
        <v>0.9</v>
      </c>
      <c r="E33" s="83">
        <v>0.9</v>
      </c>
      <c r="F33" s="83">
        <v>0.9</v>
      </c>
      <c r="G33" s="20">
        <f t="shared" si="0"/>
        <v>0.9</v>
      </c>
      <c r="H33" s="83">
        <v>0.15</v>
      </c>
      <c r="I33" s="83">
        <v>0.1</v>
      </c>
      <c r="J33" s="83"/>
      <c r="K33" s="83"/>
      <c r="L33" s="84">
        <f t="shared" si="1"/>
        <v>0.1</v>
      </c>
      <c r="M33" s="43" t="s">
        <v>72</v>
      </c>
    </row>
    <row r="34" spans="2:13" x14ac:dyDescent="0.25">
      <c r="B34" s="44" t="s">
        <v>50</v>
      </c>
      <c r="C34" s="83">
        <v>0.54</v>
      </c>
      <c r="D34" s="83">
        <v>2.9</v>
      </c>
      <c r="E34" s="83">
        <v>2.9</v>
      </c>
      <c r="F34" s="83">
        <v>2.9</v>
      </c>
      <c r="G34" s="20">
        <f t="shared" si="0"/>
        <v>2.9</v>
      </c>
      <c r="H34" s="83">
        <v>0.15</v>
      </c>
      <c r="I34" s="83">
        <v>0.1</v>
      </c>
      <c r="J34" s="83"/>
      <c r="K34" s="83"/>
      <c r="L34" s="84">
        <f t="shared" si="1"/>
        <v>0.1</v>
      </c>
      <c r="M34" s="43" t="s">
        <v>72</v>
      </c>
    </row>
    <row r="35" spans="2:13" x14ac:dyDescent="0.25">
      <c r="B35" s="44" t="s">
        <v>53</v>
      </c>
      <c r="C35" s="83">
        <v>0.54</v>
      </c>
      <c r="D35" s="83">
        <v>5</v>
      </c>
      <c r="E35" s="83">
        <v>5</v>
      </c>
      <c r="F35" s="83">
        <v>5</v>
      </c>
      <c r="G35" s="20">
        <f t="shared" si="0"/>
        <v>5</v>
      </c>
      <c r="H35" s="83">
        <v>0.15</v>
      </c>
      <c r="I35" s="83">
        <v>0.15</v>
      </c>
      <c r="J35" s="83"/>
      <c r="K35" s="83"/>
      <c r="L35" s="84">
        <f t="shared" si="1"/>
        <v>0.15</v>
      </c>
      <c r="M35" s="43" t="s">
        <v>72</v>
      </c>
    </row>
    <row r="36" spans="2:13" x14ac:dyDescent="0.25">
      <c r="B36" s="44" t="s">
        <v>51</v>
      </c>
      <c r="C36" s="83">
        <v>0.6</v>
      </c>
      <c r="D36" s="83">
        <v>0.9</v>
      </c>
      <c r="E36" s="83">
        <v>0.9</v>
      </c>
      <c r="F36" s="83">
        <v>0.9</v>
      </c>
      <c r="G36" s="20">
        <f t="shared" si="0"/>
        <v>0.9</v>
      </c>
      <c r="H36" s="83">
        <v>0.15</v>
      </c>
      <c r="I36" s="83">
        <v>0.1</v>
      </c>
      <c r="J36" s="83"/>
      <c r="K36" s="83"/>
      <c r="L36" s="84">
        <f t="shared" si="1"/>
        <v>0.1</v>
      </c>
      <c r="M36" s="43" t="s">
        <v>72</v>
      </c>
    </row>
  </sheetData>
  <mergeCells count="9">
    <mergeCell ref="G14:G15"/>
    <mergeCell ref="H14:H15"/>
    <mergeCell ref="I14:K14"/>
    <mergeCell ref="D13:F13"/>
    <mergeCell ref="B14:B15"/>
    <mergeCell ref="C14:C15"/>
    <mergeCell ref="D14:D15"/>
    <mergeCell ref="E14:E15"/>
    <mergeCell ref="F14:F1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Maps</vt:lpstr>
      <vt:lpstr>Comparison</vt:lpstr>
      <vt:lpstr>Pakistan</vt:lpstr>
      <vt:lpstr>Afghanistan</vt:lpstr>
      <vt:lpstr>UAE</vt:lpstr>
      <vt:lpstr>Morocco</vt:lpstr>
      <vt:lpstr>KSA</vt:lpstr>
      <vt:lpstr>Tunisia</vt:lpstr>
      <vt:lpstr>Cellular</vt:lpstr>
      <vt:lpstr>color</vt:lpstr>
      <vt:lpstr>Country</vt:lpstr>
      <vt:lpstr>Pakistan</vt:lpstr>
    </vt:vector>
  </TitlesOfParts>
  <Company>The World Bank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Abdul Waheed</dc:creator>
  <cp:lastModifiedBy>Abdul Waheed</cp:lastModifiedBy>
  <dcterms:created xsi:type="dcterms:W3CDTF">2014-12-17T10:49:44Z</dcterms:created>
  <dcterms:modified xsi:type="dcterms:W3CDTF">2015-07-09T05:55:56Z</dcterms:modified>
</cp:coreProperties>
</file>